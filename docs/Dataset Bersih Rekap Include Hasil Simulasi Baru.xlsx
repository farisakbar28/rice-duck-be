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kol &amp; Klasifikasi" sheetId="1" r:id="rId4"/>
    <sheet state="visible" name="Dataset Actual Bersih" sheetId="2" r:id="rId5"/>
    <sheet state="visible" name="Hasil Skenario Sistem" sheetId="3" r:id="rId6"/>
    <sheet state="visible" name="Excluded Log Anomali" sheetId="4" r:id="rId7"/>
  </sheets>
  <definedNames/>
  <calcPr/>
  <extLst>
    <ext uri="GoogleSheetsCustomDataVersion2">
      <go:sheetsCustomData xmlns:go="http://customooxmlschemas.google.com/" r:id="rId8" roundtripDataChecksum="AU/CuL6g2zyf8FZXcTSCoXcS+8m2bac/k+5KL88FlIY="/>
    </ext>
  </extLst>
</workbook>
</file>

<file path=xl/sharedStrings.xml><?xml version="1.0" encoding="utf-8"?>
<sst xmlns="http://schemas.openxmlformats.org/spreadsheetml/2006/main" count="683" uniqueCount="275">
  <si>
    <t>PROTOKOL PEMBERSIHAN DATA REKAP AKTUAL PADI-BEBEK (ASTUNGKARA WAY)</t>
  </si>
  <si>
    <t>Kategori</t>
  </si>
  <si>
    <t>Jumlah Baris</t>
  </si>
  <si>
    <t>Tindakan</t>
  </si>
  <si>
    <t>Kriteria (kode, dapat diaudit)</t>
  </si>
  <si>
    <t>Clean (valid untuk uji akurasi)</t>
  </si>
  <si>
    <t>KEEP</t>
  </si>
  <si>
    <t>Bebek&gt;0, A_are&gt;=2.5, tidak ada catatan wabah/hama/pinjam eksplisit, bukan demplot.</t>
  </si>
  <si>
    <t>Excluded (anomali/non-representatif)</t>
  </si>
  <si>
    <t>DROP</t>
  </si>
  <si>
    <t>Memenuhi salah satu: J&lt;=0, A_are&lt;2.5, catatan wabah/hama/pinjam, atau demplot eksperimental.</t>
  </si>
  <si>
    <t>GAP DATA KRITIS (tidak tersedia di file mentah):</t>
  </si>
  <si>
    <t>• U_bebek (umur bebek saat masuk sawah, hari) — TIDAK ADA kolom ini di file mentah. Model mensyaratkan U_bebek sebagai quality gate (status umur, harga beli, batas durasi, confidence Q_output).</t>
  </si>
  <si>
    <t>• t_duck / tanggal lepas-tarik bebek (durasi aktual bebek di sawah) — TIDAK ADA kolom ini. Kolom 'Duration (days)' di file mentah adalah durasi VARIETAS PADI, bukan durasi bebek, dan bernilai konstan 100 di hampir semua baris — indikasi kuat ini adalah nilai default/placeholder, bukan data lapangan riil.</t>
  </si>
  <si>
    <t>DATASET REKAP AKTUAL BERSIH (36 SIKLUS) — DIEKSTRAK LANGSUNG DARI FILE MENTAH</t>
  </si>
  <si>
    <t>Excel Row (Sumber)</t>
  </si>
  <si>
    <t>Batch/Section (Sumber)</t>
  </si>
  <si>
    <t>Farmer Name</t>
  </si>
  <si>
    <t>Subak</t>
  </si>
  <si>
    <t>Munduk</t>
  </si>
  <si>
    <t>Group No</t>
  </si>
  <si>
    <t>Farmer Cycle No</t>
  </si>
  <si>
    <t>A_are (Luas Program)</t>
  </si>
  <si>
    <t>J (Jumlah Ekor Bebek)</t>
  </si>
  <si>
    <t>d_are (Kepadatan Ekor/Are)</t>
  </si>
  <si>
    <t>d_ha (Kepadatan Ekor/Ha)</t>
  </si>
  <si>
    <t>Estimatasi Kualitatif U_bebek (Umur Bebek Masuk, hari)</t>
  </si>
  <si>
    <t>Estimasi Kualitatif t_duck (Durasi Aktual, hari)</t>
  </si>
  <si>
    <t>Varietas (S)</t>
  </si>
  <si>
    <t>Sistem Tanam (S)</t>
  </si>
  <si>
    <t>Actual Yield (kg/are)</t>
  </si>
  <si>
    <t>Price Gabah (Rp/kg)</t>
  </si>
  <si>
    <t>Actual Gabah Revenue (Rp)</t>
  </si>
  <si>
    <t>Buy Price Duck (Rp/ekor)</t>
  </si>
  <si>
    <t>Feed Cost (Rp)</t>
  </si>
  <si>
    <t>Duck Sale Revenue (Rp)</t>
  </si>
  <si>
    <t>Total Revenue - Core (Rp) [Revenue_gabah + Revenue_duck]</t>
  </si>
  <si>
    <t>Cost Total Cash - Core (Rp) [Cost_duck_buy + Cost_feed]</t>
  </si>
  <si>
    <t>Profit Net Cash - Core Model Consistent (Rp)</t>
  </si>
  <si>
    <t>Weeding Labor Cost (Rp)</t>
  </si>
  <si>
    <t>Total Labor Cost (Rp)</t>
  </si>
  <si>
    <t>Chemical Fertilizer Cost (Rp)</t>
  </si>
  <si>
    <t>Organic Matter Cost (Rp)</t>
  </si>
  <si>
    <t>Pesticide Cost (Rp)</t>
  </si>
  <si>
    <t>Herbicide Cost (Rp)</t>
  </si>
  <si>
    <t>Total Livestock Investment / C_infra proxy (Rp)</t>
  </si>
  <si>
    <t>Total Profit - Raw Farmer P&amp;L (Rp, REFERENSI SAJA, termasuk Weeding/Pesticide/Infra/Fertilizer</t>
  </si>
  <si>
    <t>Total Operating Profit (Rp, referensi saja)</t>
  </si>
  <si>
    <t>Density Flag (vs K_max_are lokal)</t>
  </si>
  <si>
    <t>Field Notes (Verbatim dari Sumber)</t>
  </si>
  <si>
    <t>Subak Uma Lambing Munduk Lambing Batch 1 (cyle 1)</t>
  </si>
  <si>
    <t>I Wayan Suarta</t>
  </si>
  <si>
    <t>Uma Lambing</t>
  </si>
  <si>
    <t>Lambing</t>
  </si>
  <si>
    <t>Sertani 13</t>
  </si>
  <si>
    <t>Null(default Jarwo 2:1)</t>
  </si>
  <si>
    <t>I Made Widana</t>
  </si>
  <si>
    <t>I Wayan Suwendhi Artha</t>
  </si>
  <si>
    <t>I Ketut Tantra</t>
  </si>
  <si>
    <t>I Made Arsania</t>
  </si>
  <si>
    <t>I Nyoman Ranes</t>
  </si>
  <si>
    <t>FLAG: Densitas kepadatan per are &lt; 1 ekor/are</t>
  </si>
  <si>
    <t>made from greens and cow manure from his live stock. He use 2 x  5 kg paint bucket</t>
  </si>
  <si>
    <t>I Wayan Wiratna</t>
  </si>
  <si>
    <t>from his own livestock manure</t>
  </si>
  <si>
    <t>I Ketut Alit Sudarsana</t>
  </si>
  <si>
    <t>Cow secretion  from his own live stock ; 32 L of Cow pee</t>
  </si>
  <si>
    <t>I Gusti Ngurah Rai Sukarta</t>
  </si>
  <si>
    <t>150 ml of Ecoenzim</t>
  </si>
  <si>
    <t>Subak Uma Lambing Munduk Bias Batch 1 (cyle 1)</t>
  </si>
  <si>
    <t>I Wayan Sadia</t>
  </si>
  <si>
    <t>Bias</t>
  </si>
  <si>
    <t>Sertani</t>
  </si>
  <si>
    <t>use 3 kg seeds, not buy seeds | He made liquid fertilizer from leftover fruit, only buy 1 kg sugar | He made natural pesticide from soursop leaf, papaya leaf, tobbaco, onion, and garlic only buy the herbs 20000</t>
  </si>
  <si>
    <t>Subak Uma Lambing Munduk Lambing Batch 1 (cyle 2)</t>
  </si>
  <si>
    <t>Jarwo 2:1</t>
  </si>
  <si>
    <t>FLAG: Densitas (4.55 ekor/are) &gt; K_max_are acuan lokal (4.0)</t>
  </si>
  <si>
    <t>use 5 kg seeds | Use compost from chicken manure | He used natural pesticide from tobacco, garlic and onion skin, spend 6 liter  (4 sprayer )</t>
  </si>
  <si>
    <t>use 5 kg seeds | He used papaya leaf with garlic, spend 2,2 l/time application, total 7 times application</t>
  </si>
  <si>
    <t>use 2 kg seeds, not buy seeds | Only use Jerami compost and duck manure come from ducks that stays there during fallow period</t>
  </si>
  <si>
    <t>Inpari</t>
  </si>
  <si>
    <t>use 2 kg seeds | He used papaya leaf with garlic, 1 times application spend 3 liters natural pesticide with water added</t>
  </si>
  <si>
    <t xml:space="preserve">Inpari </t>
  </si>
  <si>
    <t>use 2 kg seeds</t>
  </si>
  <si>
    <t>use 1 kg seeds | She used natural pesticide from AW: soursop leaf, papaya leaf, tobbaco, garlic, galangal, and kapur 1 time application.</t>
  </si>
  <si>
    <t>I Ketut Alit Sudarsana bring 29 kg home for seeds | use 5 kg seeds, not buy seeds | He used fermented cow pee with molase, em4, gamal leaf and onion/garlic skin , he spent 16 liters of the fermentation</t>
  </si>
  <si>
    <t>FLAG: Densitas (9.09 ekor/are) &gt; K_max_are acuan lokal (4.0)</t>
  </si>
  <si>
    <t>use 5  kg seeds | Only use Jerami compost</t>
  </si>
  <si>
    <t>Subak Uma Lambing Munduk Bias Batch 2 (cycle 1)</t>
  </si>
  <si>
    <t>I Gusti Nyoman Ngurah Wirasuta</t>
  </si>
  <si>
    <t>He only had 7 ducks left (not sell yet) | use 3  kg seeds | Use Cow Manure compost | He used 440 ml of natural pesticide that he made from papaya leaf, tobacco, garlic | Not plant the border plant yet</t>
  </si>
  <si>
    <t>Subak Uma Lambing Munduk Lambing Batch 3 (cycle 1)</t>
  </si>
  <si>
    <t>He use ecoenzym 900 ml | He use natural pesticide from papaya leaf and tobacco, he spent 900 ml pesticides | Not plant the border plant yet</t>
  </si>
  <si>
    <t>Subak Uma Lambing Munduk Lambing Batch 1 (cycle 3)</t>
  </si>
  <si>
    <t>Tegel</t>
  </si>
  <si>
    <t>Not plant the border plant yet</t>
  </si>
  <si>
    <t>Sertani a 13</t>
  </si>
  <si>
    <t>He use liquid fertilizer that also function as natural pesticide, he spent 100 liters on fifth times application. Special for the 5th application he add tobacco | He use liquid fertilizer that also function as natural pesticide, he spent 40 liters on fifth times application. Special for the 5th application he add tobacco</t>
  </si>
  <si>
    <t>He use ecoenzym 600 ml | He use natural pesticide from papaya leaf and tobacco, he spent 600 ml pesticides | Not plant the border plant yet</t>
  </si>
  <si>
    <t>Subak Uma Lambing Munduk Bias Batch 2 (cycle 2)</t>
  </si>
  <si>
    <t>Inpari 32</t>
  </si>
  <si>
    <t>SUL Munduk Lambing Batch 1 (cycle 4)</t>
  </si>
  <si>
    <t>FLAG: Densitas (4.17 ekor/are) &gt; K_max_are acuan lokal (4.0)</t>
  </si>
  <si>
    <t>use duck from previous cycle</t>
  </si>
  <si>
    <t>Subak Pedahanan, Munduk Babakan (cycle 2)</t>
  </si>
  <si>
    <t>I Wayan Jana</t>
  </si>
  <si>
    <t>Pedahanan</t>
  </si>
  <si>
    <t>Babakan</t>
  </si>
  <si>
    <t>- Tambahan jual Gonda 30000
* Panen Gonda dan Kacang Tunggak untuk dapur &gt; 15 kali masing-masing -&gt; nilai 5000/panen | Liquid fertilizer 2 = AW recipe + Menir + Ikan Basi + Telur busuk</t>
  </si>
  <si>
    <t>I Gusti Ngurah Putu Suka Nada</t>
  </si>
  <si>
    <t>I Wayan Arta Susila</t>
  </si>
  <si>
    <t>SUL Munduk Lambing Batch 1 (cycle 5)</t>
  </si>
  <si>
    <t>Suppose to be without Azolla, but it came naturally</t>
  </si>
  <si>
    <t>SUL Munduk Lambing Batch 2 (cycle 4)</t>
  </si>
  <si>
    <t>I Nyoman Suwitra</t>
  </si>
  <si>
    <t>Duck and livestock investment cost subcidies by AW</t>
  </si>
  <si>
    <t>SUL Munduk Lambing Batch 3 (cycle 3)</t>
  </si>
  <si>
    <t>Alm. I Ketut Tantra</t>
  </si>
  <si>
    <t>Subak Ketapang, Munduk Ketapang Batch 1 (cycle 3)</t>
  </si>
  <si>
    <t>I Wayan Buana</t>
  </si>
  <si>
    <t>Ketapang</t>
  </si>
  <si>
    <t>I Ketut Buda</t>
  </si>
  <si>
    <t>I Made Suardika</t>
  </si>
  <si>
    <t>HASIL SKENARIO SISTEM DSS PADI-BEBEK — INPUT &amp; OUTPUT SISTEM (36 SKENARIO UJI, 1:1 DENGAN DATASET ACTUAL BERSIH)</t>
  </si>
  <si>
    <t>No</t>
  </si>
  <si>
    <t>Nama Skenario</t>
  </si>
  <si>
    <t>A_are (Luas Lahan Aktif, are)</t>
  </si>
  <si>
    <t>J (Jumlah Bebek Ditebar, ekor)</t>
  </si>
  <si>
    <t>d_are (Kepadatan, ekor/are)</t>
  </si>
  <si>
    <t>d_ha (Kepadatan, ekor/ha)</t>
  </si>
  <si>
    <t>Umur Bebek Masuk (hari)</t>
  </si>
  <si>
    <t>Varietas Padi</t>
  </si>
  <si>
    <t>Sistem Tanam</t>
  </si>
  <si>
    <t>Tanggal Tanam</t>
  </si>
  <si>
    <t>Harga Beli Bebek (Rp/ekor)</t>
  </si>
  <si>
    <t>Tanggal Masuk Bebek</t>
  </si>
  <si>
    <t>Tanggal Tarik Bebek</t>
  </si>
  <si>
    <t>Tanggal Panen Gabah</t>
  </si>
  <si>
    <t>N_survive - Populasi Bebek Bertahan (ekor)</t>
  </si>
  <si>
    <t>Hasil Panen Prediksi (kg/are)</t>
  </si>
  <si>
    <t>Hasil Panen Prediksi Total (kg)</t>
  </si>
  <si>
    <t>Revenue Gabah (Rp)</t>
  </si>
  <si>
    <t>Revenue Bebek (Rp)</t>
  </si>
  <si>
    <t>Total Revenue (Rp)</t>
  </si>
  <si>
    <t>Cost Beli Bebek (Rp)</t>
  </si>
  <si>
    <t>Total Cost Cash - Core (Rp)</t>
  </si>
  <si>
    <t>Profit Net Cash (Rp)</t>
  </si>
  <si>
    <t>Cost Pakan - Referensi Saja (Rp)</t>
  </si>
  <si>
    <t>Cost Penyiangan/Weeding - Referensi Saja (Rp)</t>
  </si>
  <si>
    <t>Cost Pestisida - Referensi Saja (Rp)</t>
  </si>
  <si>
    <t>Cost Infra - Net - Referensi Saja (Rp)</t>
  </si>
  <si>
    <t>Cost Infra - Cage - Referensi Saja (Rp)</t>
  </si>
  <si>
    <t>Cost Infrastruktur Total - Referensi Saja (Rp)</t>
  </si>
  <si>
    <t>Cost Pupuk Urea - Referensi Saja (Rp)</t>
  </si>
  <si>
    <t>Cost Pupuk Phonska - Referensi Saja (Rp)</t>
  </si>
  <si>
    <t>Cost Pupuk KCl - Referensi Saja (Rp)</t>
  </si>
  <si>
    <t>Cost Pupuk Total - Referensi Saja (Rp)</t>
  </si>
  <si>
    <t>Valuasi Ekonomi Penyiangan/Weeding (Rp)</t>
  </si>
  <si>
    <t>Profit Net Full (Rp)</t>
  </si>
  <si>
    <t>I Wayan Suarta (Uma Lambing, Lambing) — Subak Uma Lambing Munduk Lambing Batch 1 (cyle 1)</t>
  </si>
  <si>
    <t>Jajar Legowo</t>
  </si>
  <si>
    <t>2026-07-12</t>
  </si>
  <si>
    <t>2026-08-02</t>
  </si>
  <si>
    <t>2026-09-15</t>
  </si>
  <si>
    <t>2026-10-19</t>
  </si>
  <si>
    <t>I Made Widana (Uma Lambing, Lambing) — Subak Uma Lambing Munduk Lambing Batch 1 (cyle 1)</t>
  </si>
  <si>
    <t>I Wayan Suwendhi Artha (Uma Lambing, Lambing) — Subak Uma Lambing Munduk Lambing Batch 1 (cyle 1)</t>
  </si>
  <si>
    <t>I Ketut Tantra (Uma Lambing, Lambing) — Subak Uma Lambing Munduk Lambing Batch 1 (cyle 1)</t>
  </si>
  <si>
    <t>I Made Arsania (Uma Lambing, Lambing) — Subak Uma Lambing Munduk Lambing Batch 1 (cyle 1)</t>
  </si>
  <si>
    <t>I Nyoman Ranes (Uma Lambing, Lambing) — Subak Uma Lambing Munduk Lambing Batch 1 (cyle 1)</t>
  </si>
  <si>
    <t>I Wayan Wiratna (Uma Lambing, Lambing) — Subak Uma Lambing Munduk Lambing Batch 1 (cyle 1)</t>
  </si>
  <si>
    <t>I Ketut Alit Sudarsana (Uma Lambing, Lambing) — Subak Uma Lambing Munduk Lambing Batch 1 (cyle 1)</t>
  </si>
  <si>
    <t>I Gusti Ngurah Rai Sukarta (Uma Lambing, Lambing) — Subak Uma Lambing Munduk Lambing Batch 1 (cyle 1)</t>
  </si>
  <si>
    <t>I Wayan Sadia (Uma Lambing, Bias) — Subak Uma Lambing Munduk Bias Batch 1 (cyle 1)</t>
  </si>
  <si>
    <t>I Wayan Suarta (Uma Lambing, Lambing) — Subak Uma Lambing Munduk Lambing Batch 1 (cyle 2)</t>
  </si>
  <si>
    <t>I Made Widana (Uma Lambing, Lambing) — Subak Uma Lambing Munduk Lambing Batch 1 (cyle 2)</t>
  </si>
  <si>
    <t>I Wayan Suwendhi Artha (Uma Lambing, Lambing) — Subak Uma Lambing Munduk Lambing Batch 1 (cyle 2)</t>
  </si>
  <si>
    <t>I Ketut Tantra (Uma Lambing, Lambing) — Subak Uma Lambing Munduk Lambing Batch 1 (cyle 2)</t>
  </si>
  <si>
    <t>2026-11-01</t>
  </si>
  <si>
    <t>I Nyoman Ranes (Uma Lambing, Lambing) — Subak Uma Lambing Munduk Lambing Batch 1 (cyle 2)</t>
  </si>
  <si>
    <t>I Wayan Wiratna (Uma Lambing, Lambing) — Subak Uma Lambing Munduk Lambing Batch 1 (cyle 2)</t>
  </si>
  <si>
    <t>I Ketut Alit Sudarsana (Uma Lambing, Lambing) — Subak Uma Lambing Munduk Lambing Batch 1 (cyle 2)</t>
  </si>
  <si>
    <t>I Gusti Ngurah Rai Sukarta (Uma Lambing, Lambing) — Subak Uma Lambing Munduk Lambing Batch 1 (cyle 2)</t>
  </si>
  <si>
    <t>I Gusti Nyoman Ngurah Wirasuta (Uma Lambing, Bias) — Subak Uma Lambing Munduk Bias Batch 2 (cycle 1)</t>
  </si>
  <si>
    <t>2024-02-19</t>
  </si>
  <si>
    <t>2024-03-11</t>
  </si>
  <si>
    <t>2024-04-24</t>
  </si>
  <si>
    <t>2024-05-28</t>
  </si>
  <si>
    <t>I Gusti Ngurah Rai Sukarta (Uma Lambing, Lambing) — Subak Uma Lambing Munduk Lambing Batch 3 (cycle 1)</t>
  </si>
  <si>
    <t>2024-04-15</t>
  </si>
  <si>
    <t>2024-05-06</t>
  </si>
  <si>
    <t>2024-06-19</t>
  </si>
  <si>
    <t>2024-07-23</t>
  </si>
  <si>
    <t>I Wayan Suarta (Uma Lambing, Lambing) — Subak Uma Lambing Munduk Lambing Batch 1 (cycle 3)</t>
  </si>
  <si>
    <t>2024-04-12</t>
  </si>
  <si>
    <t>2024-05-03</t>
  </si>
  <si>
    <t>2024-06-16</t>
  </si>
  <si>
    <t>2024-08-02</t>
  </si>
  <si>
    <t>I Wayan Suwendhi Artha (Uma Lambing, Lambing) — Subak Uma Lambing Munduk Lambing Batch 1 (cycle 3)</t>
  </si>
  <si>
    <t>2024-04-23</t>
  </si>
  <si>
    <t>2024-05-14</t>
  </si>
  <si>
    <t>2024-06-27</t>
  </si>
  <si>
    <t>2024-07-31</t>
  </si>
  <si>
    <t>I Ketut Alit Sudarsana (Uma Lambing, Lambing) — Subak Uma Lambing Munduk Lambing Batch 1 (cycle 3)</t>
  </si>
  <si>
    <t>2024-04-22</t>
  </si>
  <si>
    <t>2024-05-13</t>
  </si>
  <si>
    <t>2024-06-26</t>
  </si>
  <si>
    <t>2024-07-30</t>
  </si>
  <si>
    <t>I Gusti Ngurah Rai Sukarta (Uma Lambing, Lambing) — Subak Uma Lambing Munduk Lambing Batch 1 (cycle 3)</t>
  </si>
  <si>
    <t>I Gusti Nyoman Ngurah Wirasuta (Uma Lambing, Bias) — Subak Uma Lambing Munduk Bias Batch 2 (cycle 2)</t>
  </si>
  <si>
    <t>2024-07-17</t>
  </si>
  <si>
    <t>2024-08-07</t>
  </si>
  <si>
    <t>2024-09-20</t>
  </si>
  <si>
    <t>2024-11-06</t>
  </si>
  <si>
    <t>I Made Arsania (Uma Lambing, Lambing) — SUL Munduk Lambing Batch 1 (cycle 4)</t>
  </si>
  <si>
    <t>2024-10-01</t>
  </si>
  <si>
    <t>2024-10-22</t>
  </si>
  <si>
    <t>2024-12-05</t>
  </si>
  <si>
    <t>2025-01-08</t>
  </si>
  <si>
    <t>I Ketut Alit Sudarsana (Uma Lambing, Lambing) — SUL Munduk Lambing Batch 1 (cycle 4)</t>
  </si>
  <si>
    <t>2024-09-28</t>
  </si>
  <si>
    <t>2024-10-19</t>
  </si>
  <si>
    <t>2024-12-02</t>
  </si>
  <si>
    <t>2025-01-18</t>
  </si>
  <si>
    <t>I Wayan Jana (Pedahanan, Babakan) — Subak Pedahanan, Munduk Babakan (cycle 2)</t>
  </si>
  <si>
    <t>I Gusti Ngurah Putu Suka Nada (Pedahanan, Babakan) — Subak Pedahanan, Munduk Babakan (cycle 2)</t>
  </si>
  <si>
    <t>I Wayan Arta Susila (Pedahanan, Babakan) — Subak Pedahanan, Munduk Babakan (cycle 2)</t>
  </si>
  <si>
    <t>I Wayan Suwendhi Artha (Uma Lambing, Lambing) — SUL Munduk Lambing Batch 1 (cycle 5)</t>
  </si>
  <si>
    <t>2025-04-09</t>
  </si>
  <si>
    <t>2025-04-30</t>
  </si>
  <si>
    <t>2025-06-13</t>
  </si>
  <si>
    <t>2025-07-17</t>
  </si>
  <si>
    <t>I Nyoman Suwitra (Uma Lambing, Lambing) — SUL Munduk Lambing Batch 2 (cycle 4)</t>
  </si>
  <si>
    <t>Alm. I Ketut Tantra (Uma Lambing, Lambing) — SUL Munduk Lambing Batch 3 (cycle 3)</t>
  </si>
  <si>
    <t>2025-04-19</t>
  </si>
  <si>
    <t>2025-05-10</t>
  </si>
  <si>
    <t>2025-06-23</t>
  </si>
  <si>
    <t>2025-07-27</t>
  </si>
  <si>
    <t>I Wayan Buana (Ketapang, Ketapang) — Subak Ketapang, Munduk Ketapang Batch 1 (cycle 3)</t>
  </si>
  <si>
    <t>I Ketut Buda (Ketapang, Ketapang) — Subak Ketapang, Munduk Ketapang Batch 1 (cycle 3)</t>
  </si>
  <si>
    <t>I Made Suardika (Ketapang, Ketapang) — Subak Ketapang, Munduk Ketapang Batch 1 (cycle 3)</t>
  </si>
  <si>
    <t>LOG EXCLUSION (8 BARIS DIBUANG) — KRITERIA TRANSPARAN &amp; BERBASIS KODE</t>
  </si>
  <si>
    <t>J (Ekor Bebek)</t>
  </si>
  <si>
    <t>d_are (Ekor/Are)</t>
  </si>
  <si>
    <t>d_ha (Ekor/Ha)</t>
  </si>
  <si>
    <t>Estimatasi Kualitatif U_bebek (Umur Masuk, hari)</t>
  </si>
  <si>
    <t>Duck Sale Revenue (Rp) [Revenue_duck]</t>
  </si>
  <si>
    <t>Total Profit — Raw Farmer P&amp;L (Rp, REFERENSI SAJA, termasuk Weeding/Pesticide/Infra/Fertilizer)</t>
  </si>
  <si>
    <t>Alasan Exclusion (Hasil Klasifikasi Kode)</t>
  </si>
  <si>
    <t>Subak Uma Lambing Munduk Lambing Batch 2 (cycle 1)</t>
  </si>
  <si>
    <t>I Gusti Ngurah Wirasuta</t>
  </si>
  <si>
    <t>Used Impari rice, and get pest out break explains lower yield. Service harvest paid by AW 1000/kg Gabah. Use duck (borrow ducks) | use 4  kg seeds</t>
  </si>
  <si>
    <t>Catatan lapangan eksplisit menyebut bebek pinjaman</t>
  </si>
  <si>
    <t>use 1,5 kg seeds, not buy seeds</t>
  </si>
  <si>
    <t>Siklus tanpa bebek (J&lt;=0 atau data bebek kosong)</t>
  </si>
  <si>
    <t>Ni Nyoman Suwerti</t>
  </si>
  <si>
    <t>not sell the duck, prefer to selll egg | use 2  kg seeds | She used 1.2 liter of natural pesticide
She got Pucuk Putih attack on the early stage after planting | Not plant the border plant yet | it before from pacah plant area</t>
  </si>
  <si>
    <t>Catatan lapangan eksplisit menyebut serangan hama/wabah</t>
  </si>
  <si>
    <t>Subak Saradan  Munduk Sepit Kajanan Batch 1 (cycle 1)</t>
  </si>
  <si>
    <t>I Ketut Mertiyasa</t>
  </si>
  <si>
    <t>Saradan</t>
  </si>
  <si>
    <t>Sepit Dajanan</t>
  </si>
  <si>
    <t>Beras merah</t>
  </si>
  <si>
    <t>10 duck added on 1.7 are land, but only 7 left | use 2.5 kg seeds | He got attack by Hama Beluk on vegetative phase and Walang Sangit pest when generative phase start
Natural pesticide made from fermented soursop leaf, papaya leaf, garlic, Lengkuas, aloevera, tobacco.  Three times application, in total  spent 4 litres natural pesticide</t>
  </si>
  <si>
    <t>I Gusti Ngurah Putu Suka Nada 
(Data collection, level 7)</t>
  </si>
  <si>
    <t>Luasan mikro ekstrem (A_are &lt; 2.5 are)</t>
  </si>
  <si>
    <t>SUL Munduk Lambing Batch 4 (cycle 2)</t>
  </si>
  <si>
    <t>Demplot Grounded (Data collection, level 8)</t>
  </si>
  <si>
    <t>Luasan mikro ekstrem (A_are &lt; 2.5 are); Lahan eksperimental/demplot (bukan siklus petani reguler)</t>
  </si>
  <si>
    <t>I Ketut Darmawan  (Data collection, level 4)</t>
  </si>
  <si>
    <t>Subak Pedahanan, Munduk Pedahanan Grup 1  Batch 1 (cycle 2)</t>
  </si>
  <si>
    <t>I Wayan Sari Merta</t>
  </si>
  <si>
    <t>Tabela (Jarwo 2:1)</t>
  </si>
  <si>
    <t>He use the duck for ceremony</t>
  </si>
  <si>
    <t>Bebek dipakai untuk keperluan upacara adat (ceremony), bukan beroperasi agroekologis di seluruh petak. Sumber mentah sendiri mengoreksi formula densitas pada baris ini menjadi J/2 are (bukan J/H are seperti baris lain yang semuanya J/H), mengindikasikan luas program tercatat (17,19 are) tidak merepresentasikan luas kerja bebek riil. Karena kolom Actual Yield (kg/are) &amp; Revenue tetap dihitung atas basis 17,19 are penuh, baris ini tidak bisa direkonsiliasi secara konsisten untuk uji densitas bebek tanpa mendistorsi Revenue/Cost; dikeluarkan agar konsisten dengan siklus lain.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</si>
</sst>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b/>
      <sz val="16.0"/>
      <color rgb="FF1F4E78"/>
      <name val="Calibri"/>
    </font>
    <font>
      <sz val="11.0"/>
      <color theme="1"/>
      <name val="Calibri"/>
    </font>
    <font>
      <b/>
      <sz val="11.0"/>
      <color rgb="FFFFFFFF"/>
      <name val="Calibri"/>
    </font>
    <font>
      <sz val="11.0"/>
      <color rgb="FF000000"/>
      <name val="Calibri"/>
    </font>
    <font>
      <b/>
      <sz val="11.0"/>
      <color rgb="FF000000"/>
      <name val="Calibri"/>
    </font>
    <font>
      <sz val="11.0"/>
      <color rgb="FF3F3F3F"/>
      <name val="Calibri"/>
    </font>
    <font/>
    <font>
      <color theme="1"/>
      <name val="Arial"/>
      <scheme val="minor"/>
    </font>
  </fonts>
  <fills count="8">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974806"/>
        <bgColor rgb="FF974806"/>
      </patternFill>
    </fill>
    <fill>
      <patternFill patternType="solid">
        <fgColor rgb="FFFCE9D9"/>
        <bgColor rgb="FFFCE9D9"/>
      </patternFill>
    </fill>
    <fill>
      <patternFill patternType="solid">
        <fgColor rgb="FFF2F5F8"/>
        <bgColor rgb="FFF2F5F8"/>
      </patternFill>
    </fill>
    <fill>
      <patternFill patternType="solid">
        <fgColor rgb="FFFBD4B4"/>
        <bgColor rgb="FFFBD4B4"/>
      </patternFill>
    </fill>
  </fills>
  <borders count="8">
    <border/>
    <border>
      <left/>
      <right/>
      <top/>
      <bottom/>
    </border>
    <border>
      <left style="thin">
        <color rgb="FFD9D9D9"/>
      </left>
      <right style="thin">
        <color rgb="FFD9D9D9"/>
      </right>
      <top style="thin">
        <color rgb="FFD9D9D9"/>
      </top>
      <bottom style="thin">
        <color rgb="FFD9D9D9"/>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medium">
        <color rgb="FF000000"/>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1" fillId="2" fontId="3" numFmtId="0" xfId="0" applyAlignment="1" applyBorder="1" applyFill="1" applyFont="1">
      <alignment horizontal="center" shrinkToFit="0" vertical="center" wrapText="1"/>
    </xf>
    <xf borderId="0" fillId="0" fontId="2" numFmtId="0" xfId="0" applyAlignment="1" applyFont="1">
      <alignment shrinkToFit="0" vertical="center" wrapText="1"/>
    </xf>
    <xf borderId="2" fillId="0" fontId="4" numFmtId="0" xfId="0" applyAlignment="1" applyBorder="1" applyFont="1">
      <alignment shrinkToFit="0" vertical="center" wrapText="1"/>
    </xf>
    <xf borderId="2" fillId="0" fontId="4" numFmtId="0" xfId="0" applyAlignment="1" applyBorder="1" applyFont="1">
      <alignment horizontal="center" shrinkToFit="0" vertical="center" wrapText="1"/>
    </xf>
    <xf borderId="0" fillId="0" fontId="5" numFmtId="0" xfId="0" applyAlignment="1" applyFont="1">
      <alignment shrinkToFit="0" vertical="center" wrapText="1"/>
    </xf>
    <xf borderId="3" fillId="3" fontId="6" numFmtId="0" xfId="0" applyAlignment="1" applyBorder="1" applyFill="1" applyFont="1">
      <alignment shrinkToFit="0" vertical="center" wrapText="1"/>
    </xf>
    <xf borderId="4" fillId="0" fontId="7" numFmtId="0" xfId="0" applyBorder="1" applyFont="1"/>
    <xf borderId="5" fillId="0" fontId="7" numFmtId="0" xfId="0" applyBorder="1" applyFont="1"/>
    <xf borderId="0" fillId="0" fontId="1" numFmtId="0" xfId="0" applyFont="1"/>
    <xf borderId="0" fillId="0" fontId="2" numFmtId="0" xfId="0" applyFont="1"/>
    <xf borderId="6" fillId="2" fontId="3" numFmtId="0" xfId="0" applyAlignment="1" applyBorder="1" applyFont="1">
      <alignment horizontal="center" shrinkToFit="0" vertical="center" wrapText="1"/>
    </xf>
    <xf borderId="6" fillId="4" fontId="3" numFmtId="0" xfId="0" applyAlignment="1" applyBorder="1" applyFill="1" applyFont="1">
      <alignment horizontal="center" shrinkToFit="0" vertical="center" wrapText="1"/>
    </xf>
    <xf borderId="6" fillId="0" fontId="4" numFmtId="0" xfId="0" applyAlignment="1" applyBorder="1" applyFont="1">
      <alignment shrinkToFit="0" vertical="center" wrapText="1"/>
    </xf>
    <xf borderId="6" fillId="0" fontId="4" numFmtId="4" xfId="0" applyAlignment="1" applyBorder="1" applyFont="1" applyNumberFormat="1">
      <alignment horizontal="right" shrinkToFit="0" vertical="center" wrapText="1"/>
    </xf>
    <xf borderId="6" fillId="0" fontId="4" numFmtId="0" xfId="0" applyAlignment="1" applyBorder="1" applyFont="1">
      <alignment horizontal="right" shrinkToFit="0" vertical="center" wrapText="1"/>
    </xf>
    <xf borderId="6" fillId="0" fontId="4" numFmtId="4" xfId="0" applyAlignment="1" applyBorder="1" applyFont="1" applyNumberFormat="1">
      <alignment shrinkToFit="0" vertical="center" wrapText="1"/>
    </xf>
    <xf borderId="6" fillId="5" fontId="4" numFmtId="4" xfId="0" applyAlignment="1" applyBorder="1" applyFill="1" applyFont="1" applyNumberFormat="1">
      <alignment horizontal="right" shrinkToFit="0" vertical="center" wrapText="1"/>
    </xf>
    <xf borderId="6" fillId="5" fontId="2" numFmtId="4" xfId="0" applyAlignment="1" applyBorder="1" applyFont="1" applyNumberFormat="1">
      <alignment horizontal="right" shrinkToFit="0" vertical="center" wrapText="1"/>
    </xf>
    <xf borderId="0" fillId="0" fontId="2" numFmtId="0" xfId="0" applyAlignment="1" applyFont="1">
      <alignment shrinkToFit="0" wrapText="1"/>
    </xf>
    <xf borderId="0" fillId="0" fontId="8" numFmtId="3" xfId="0" applyFont="1" applyNumberFormat="1"/>
    <xf borderId="6" fillId="2" fontId="3" numFmtId="3" xfId="0" applyAlignment="1" applyBorder="1" applyFont="1" applyNumberFormat="1">
      <alignment horizontal="center" shrinkToFit="0" vertical="center" wrapText="1"/>
    </xf>
    <xf borderId="6" fillId="4" fontId="3" numFmtId="0" xfId="0" applyAlignment="1" applyBorder="1" applyFont="1">
      <alignment horizontal="center" readingOrder="0" shrinkToFit="0" vertical="center" wrapText="1"/>
    </xf>
    <xf borderId="6" fillId="6" fontId="4" numFmtId="3" xfId="0" applyAlignment="1" applyBorder="1" applyFill="1" applyFont="1" applyNumberFormat="1">
      <alignment horizontal="center" shrinkToFit="0" vertical="center" wrapText="1"/>
    </xf>
    <xf borderId="6" fillId="6" fontId="4" numFmtId="0" xfId="0" applyAlignment="1" applyBorder="1" applyFont="1">
      <alignment horizontal="left" shrinkToFit="0" vertical="center" wrapText="1"/>
    </xf>
    <xf borderId="6" fillId="6" fontId="4" numFmtId="4" xfId="0" applyAlignment="1" applyBorder="1" applyFont="1" applyNumberFormat="1">
      <alignment horizontal="left" shrinkToFit="0" vertical="center" wrapText="1"/>
    </xf>
    <xf borderId="6" fillId="6" fontId="4" numFmtId="3" xfId="0" applyAlignment="1" applyBorder="1" applyFont="1" applyNumberFormat="1">
      <alignment horizontal="left" shrinkToFit="0" vertical="center" wrapText="1"/>
    </xf>
    <xf borderId="6" fillId="5" fontId="4" numFmtId="4" xfId="0" applyAlignment="1" applyBorder="1" applyFont="1" applyNumberFormat="1">
      <alignment horizontal="left" shrinkToFit="0" vertical="center" wrapText="1"/>
    </xf>
    <xf borderId="6" fillId="0" fontId="4" numFmtId="3"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4" numFmtId="4" xfId="0" applyAlignment="1" applyBorder="1" applyFont="1" applyNumberFormat="1">
      <alignment horizontal="left" shrinkToFit="0" vertical="center" wrapText="1"/>
    </xf>
    <xf borderId="6" fillId="0" fontId="4" numFmtId="3" xfId="0" applyAlignment="1" applyBorder="1" applyFont="1" applyNumberFormat="1">
      <alignment horizontal="left" shrinkToFit="0" vertical="center" wrapText="1"/>
    </xf>
    <xf borderId="1" fillId="4" fontId="3" numFmtId="0" xfId="0" applyAlignment="1" applyBorder="1" applyFont="1">
      <alignment horizontal="center" shrinkToFit="0" vertical="center" wrapText="1"/>
    </xf>
    <xf borderId="7" fillId="4" fontId="3" numFmtId="0" xfId="0" applyAlignment="1" applyBorder="1" applyFont="1">
      <alignment horizontal="center" shrinkToFit="0" vertical="center" wrapText="1"/>
    </xf>
    <xf borderId="2" fillId="7" fontId="4" numFmtId="0" xfId="0" applyAlignment="1" applyBorder="1" applyFill="1" applyFont="1">
      <alignment shrinkToFit="0" vertical="center" wrapText="1"/>
    </xf>
    <xf borderId="2" fillId="7" fontId="4" numFmtId="4" xfId="0" applyAlignment="1" applyBorder="1" applyFont="1" applyNumberFormat="1">
      <alignment shrinkToFit="0" vertical="center" wrapText="1"/>
    </xf>
    <xf borderId="1" fillId="7" fontId="2" numFmtId="4" xfId="0" applyAlignment="1" applyBorder="1" applyFont="1" applyNumberFormat="1">
      <alignment shrinkToFit="0" vertical="center" wrapText="1"/>
    </xf>
    <xf borderId="1" fillId="7" fontId="2" numFmtId="0" xfId="0" applyAlignment="1" applyBorder="1" applyFont="1">
      <alignment shrinkToFit="0" vertical="center" wrapText="1"/>
    </xf>
    <xf borderId="7" fillId="7" fontId="2" numFmtId="4" xfId="0" applyAlignment="1" applyBorder="1" applyFont="1" applyNumberFormat="1">
      <alignment shrinkToFit="0" vertical="center" wrapText="1"/>
    </xf>
    <xf borderId="7" fillId="7"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13"/>
    <col customWidth="1" min="2" max="2" width="13.13"/>
    <col customWidth="1" min="3" max="3" width="10.5"/>
    <col customWidth="1" min="4" max="4" width="48.13"/>
    <col customWidth="1" min="5" max="6" width="7.75"/>
    <col customWidth="1" min="7" max="24" width="7.63"/>
  </cols>
  <sheetData>
    <row r="1" ht="21.0"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2"/>
      <c r="G2" s="2"/>
      <c r="H2" s="2"/>
      <c r="I2" s="2"/>
      <c r="J2" s="2"/>
      <c r="K2" s="2"/>
      <c r="L2" s="2"/>
      <c r="M2" s="2"/>
      <c r="N2" s="2"/>
      <c r="O2" s="2"/>
      <c r="P2" s="2"/>
      <c r="Q2" s="2"/>
      <c r="R2" s="2"/>
      <c r="S2" s="2"/>
      <c r="T2" s="2"/>
      <c r="U2" s="2"/>
      <c r="V2" s="2"/>
      <c r="W2" s="2"/>
      <c r="X2" s="2"/>
      <c r="Y2" s="2"/>
      <c r="Z2" s="2"/>
    </row>
    <row r="3" ht="14.25" customHeight="1">
      <c r="A3" s="3" t="s">
        <v>1</v>
      </c>
      <c r="B3" s="3" t="s">
        <v>2</v>
      </c>
      <c r="C3" s="3" t="s">
        <v>3</v>
      </c>
      <c r="D3" s="3" t="s">
        <v>4</v>
      </c>
      <c r="E3" s="4"/>
      <c r="F3" s="4"/>
      <c r="G3" s="4"/>
      <c r="H3" s="4"/>
      <c r="I3" s="4"/>
      <c r="J3" s="4"/>
      <c r="K3" s="4"/>
      <c r="L3" s="4"/>
      <c r="M3" s="4"/>
      <c r="N3" s="4"/>
      <c r="O3" s="4"/>
      <c r="P3" s="4"/>
      <c r="Q3" s="4"/>
      <c r="R3" s="4"/>
      <c r="S3" s="4"/>
      <c r="T3" s="4"/>
      <c r="U3" s="4"/>
      <c r="V3" s="4"/>
      <c r="W3" s="4"/>
      <c r="X3" s="4"/>
      <c r="Y3" s="4"/>
      <c r="Z3" s="4"/>
    </row>
    <row r="4" ht="28.5" customHeight="1">
      <c r="A4" s="5" t="s">
        <v>5</v>
      </c>
      <c r="B4" s="6">
        <v>36.0</v>
      </c>
      <c r="C4" s="5" t="s">
        <v>6</v>
      </c>
      <c r="D4" s="5" t="s">
        <v>7</v>
      </c>
      <c r="E4" s="4"/>
      <c r="F4" s="4"/>
      <c r="G4" s="4"/>
      <c r="H4" s="4"/>
      <c r="I4" s="4"/>
      <c r="J4" s="4"/>
      <c r="K4" s="4"/>
      <c r="L4" s="4"/>
      <c r="M4" s="4"/>
      <c r="N4" s="4"/>
      <c r="O4" s="4"/>
      <c r="P4" s="4"/>
      <c r="Q4" s="4"/>
      <c r="R4" s="4"/>
      <c r="S4" s="4"/>
      <c r="T4" s="4"/>
      <c r="U4" s="4"/>
      <c r="V4" s="4"/>
      <c r="W4" s="4"/>
      <c r="X4" s="4"/>
      <c r="Y4" s="4"/>
      <c r="Z4" s="4"/>
    </row>
    <row r="5" ht="28.5" customHeight="1">
      <c r="A5" s="5" t="s">
        <v>8</v>
      </c>
      <c r="B5" s="6">
        <v>8.0</v>
      </c>
      <c r="C5" s="5" t="s">
        <v>9</v>
      </c>
      <c r="D5" s="5" t="s">
        <v>10</v>
      </c>
      <c r="E5" s="4"/>
      <c r="F5" s="4"/>
      <c r="G5" s="4"/>
      <c r="H5" s="4"/>
      <c r="I5" s="4"/>
      <c r="J5" s="4"/>
      <c r="K5" s="4"/>
      <c r="L5" s="4"/>
      <c r="M5" s="4"/>
      <c r="N5" s="4"/>
      <c r="O5" s="4"/>
      <c r="P5" s="4"/>
      <c r="Q5" s="4"/>
      <c r="R5" s="4"/>
      <c r="S5" s="4"/>
      <c r="T5" s="4"/>
      <c r="U5" s="4"/>
      <c r="V5" s="4"/>
      <c r="W5" s="4"/>
      <c r="X5" s="4"/>
      <c r="Y5" s="4"/>
      <c r="Z5" s="4"/>
    </row>
    <row r="6" ht="14.25" customHeight="1">
      <c r="A6" s="4"/>
      <c r="B6" s="4"/>
      <c r="C6" s="4"/>
      <c r="D6" s="4"/>
      <c r="E6" s="4"/>
      <c r="F6" s="4"/>
      <c r="G6" s="4"/>
      <c r="H6" s="4"/>
      <c r="I6" s="4"/>
      <c r="J6" s="4"/>
      <c r="K6" s="4"/>
      <c r="L6" s="4"/>
      <c r="M6" s="4"/>
      <c r="N6" s="4"/>
      <c r="O6" s="4"/>
      <c r="P6" s="4"/>
      <c r="Q6" s="4"/>
      <c r="R6" s="4"/>
      <c r="S6" s="4"/>
      <c r="T6" s="4"/>
      <c r="U6" s="4"/>
      <c r="V6" s="4"/>
      <c r="W6" s="4"/>
      <c r="X6" s="4"/>
      <c r="Y6" s="4"/>
      <c r="Z6" s="4"/>
    </row>
    <row r="7" ht="14.25" customHeight="1">
      <c r="A7" s="7" t="s">
        <v>11</v>
      </c>
      <c r="B7" s="4"/>
      <c r="C7" s="4"/>
      <c r="D7" s="4"/>
      <c r="E7" s="4"/>
      <c r="F7" s="4"/>
      <c r="G7" s="4"/>
      <c r="H7" s="4"/>
      <c r="I7" s="4"/>
      <c r="J7" s="4"/>
      <c r="K7" s="4"/>
      <c r="L7" s="4"/>
      <c r="M7" s="4"/>
      <c r="N7" s="4"/>
      <c r="O7" s="4"/>
      <c r="P7" s="4"/>
      <c r="Q7" s="4"/>
      <c r="R7" s="4"/>
      <c r="S7" s="4"/>
      <c r="T7" s="4"/>
      <c r="U7" s="4"/>
      <c r="V7" s="4"/>
      <c r="W7" s="4"/>
      <c r="X7" s="4"/>
      <c r="Y7" s="4"/>
      <c r="Z7" s="4"/>
    </row>
    <row r="8" ht="45.0" customHeight="1">
      <c r="A8" s="8" t="s">
        <v>12</v>
      </c>
      <c r="B8" s="9"/>
      <c r="C8" s="9"/>
      <c r="D8" s="10"/>
      <c r="E8" s="4"/>
      <c r="F8" s="4"/>
      <c r="G8" s="4"/>
      <c r="H8" s="4"/>
      <c r="I8" s="4"/>
      <c r="J8" s="4"/>
      <c r="K8" s="4"/>
      <c r="L8" s="4"/>
      <c r="M8" s="4"/>
      <c r="N8" s="4"/>
      <c r="O8" s="4"/>
      <c r="P8" s="4"/>
      <c r="Q8" s="4"/>
      <c r="R8" s="4"/>
      <c r="S8" s="4"/>
      <c r="T8" s="4"/>
      <c r="U8" s="4"/>
      <c r="V8" s="4"/>
      <c r="W8" s="4"/>
      <c r="X8" s="4"/>
      <c r="Y8" s="4"/>
      <c r="Z8" s="4"/>
    </row>
    <row r="9" ht="45.0" customHeight="1">
      <c r="A9" s="8" t="s">
        <v>13</v>
      </c>
      <c r="B9" s="9"/>
      <c r="C9" s="9"/>
      <c r="D9" s="10"/>
      <c r="E9" s="4"/>
      <c r="F9" s="4"/>
      <c r="G9" s="4"/>
      <c r="H9" s="4"/>
      <c r="I9" s="4"/>
      <c r="J9" s="4"/>
      <c r="K9" s="4"/>
      <c r="L9" s="4"/>
      <c r="M9" s="4"/>
      <c r="N9" s="4"/>
      <c r="O9" s="4"/>
      <c r="P9" s="4"/>
      <c r="Q9" s="4"/>
      <c r="R9" s="4"/>
      <c r="S9" s="4"/>
      <c r="T9" s="4"/>
      <c r="U9" s="4"/>
      <c r="V9" s="4"/>
      <c r="W9" s="4"/>
      <c r="X9" s="4"/>
      <c r="Y9" s="4"/>
      <c r="Z9" s="4"/>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8:D8"/>
    <mergeCell ref="A9:D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0"/>
    <col customWidth="1" min="2" max="2" width="50.25"/>
    <col customWidth="1" min="3" max="3" width="27.88"/>
    <col customWidth="1" min="4" max="4" width="14.63"/>
    <col customWidth="1" min="5" max="5" width="10.75"/>
    <col customWidth="1" min="6" max="6" width="9.63"/>
    <col customWidth="1" min="7" max="7" width="16.0"/>
    <col customWidth="1" min="8" max="8" width="19.0"/>
    <col customWidth="1" min="9" max="9" width="18.38"/>
    <col customWidth="1" min="10" max="10" width="18.13"/>
    <col customWidth="1" min="11" max="11" width="16.5"/>
    <col customWidth="1" min="12" max="12" width="26.5"/>
    <col customWidth="1" min="13" max="13" width="27.5"/>
    <col customWidth="1" min="14" max="15" width="20.63"/>
    <col customWidth="1" min="16" max="16" width="18.25"/>
    <col customWidth="1" min="17" max="17" width="17.75"/>
    <col customWidth="1" min="18" max="18" width="23.5"/>
    <col customWidth="1" min="19" max="19" width="22.5"/>
    <col customWidth="1" min="20" max="20" width="14.13"/>
    <col customWidth="1" min="21" max="21" width="23.0"/>
    <col customWidth="1" min="22" max="22" width="28.38"/>
    <col customWidth="1" min="23" max="23" width="24.5"/>
    <col customWidth="1" min="24" max="24" width="25.25"/>
    <col customWidth="1" min="25" max="25" width="20.88"/>
    <col customWidth="1" min="26" max="26" width="20.13"/>
    <col customWidth="1" min="27" max="27" width="25.75"/>
    <col customWidth="1" min="28" max="29" width="21.25"/>
    <col customWidth="1" min="30" max="30" width="19.38"/>
    <col customWidth="1" min="31" max="31" width="31.5"/>
    <col customWidth="1" min="32" max="32" width="45.13"/>
    <col customWidth="1" min="33" max="33" width="24.0"/>
    <col customWidth="1" min="34" max="34" width="29.5"/>
    <col customWidth="1" min="35" max="35" width="35.25"/>
  </cols>
  <sheetData>
    <row r="1" ht="21.0" customHeight="1">
      <c r="A1" s="11" t="s">
        <v>14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ht="18.0" customHeight="1">
      <c r="A2" s="11"/>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row>
    <row r="3" ht="39.75" customHeight="1">
      <c r="A3" s="13" t="s">
        <v>15</v>
      </c>
      <c r="B3" s="13" t="s">
        <v>16</v>
      </c>
      <c r="C3" s="13" t="s">
        <v>17</v>
      </c>
      <c r="D3" s="13" t="s">
        <v>18</v>
      </c>
      <c r="E3" s="13" t="s">
        <v>19</v>
      </c>
      <c r="F3" s="13" t="s">
        <v>20</v>
      </c>
      <c r="G3" s="13" t="s">
        <v>21</v>
      </c>
      <c r="H3" s="13" t="s">
        <v>22</v>
      </c>
      <c r="I3" s="13" t="s">
        <v>23</v>
      </c>
      <c r="J3" s="13" t="s">
        <v>24</v>
      </c>
      <c r="K3" s="13" t="s">
        <v>25</v>
      </c>
      <c r="L3" s="13" t="s">
        <v>26</v>
      </c>
      <c r="M3" s="13" t="s">
        <v>27</v>
      </c>
      <c r="N3" s="13" t="s">
        <v>28</v>
      </c>
      <c r="O3" s="13" t="s">
        <v>29</v>
      </c>
      <c r="P3" s="13" t="s">
        <v>30</v>
      </c>
      <c r="Q3" s="13" t="s">
        <v>31</v>
      </c>
      <c r="R3" s="13" t="s">
        <v>32</v>
      </c>
      <c r="S3" s="13" t="s">
        <v>33</v>
      </c>
      <c r="T3" s="13" t="s">
        <v>34</v>
      </c>
      <c r="U3" s="13" t="s">
        <v>35</v>
      </c>
      <c r="V3" s="13" t="s">
        <v>36</v>
      </c>
      <c r="W3" s="13" t="s">
        <v>37</v>
      </c>
      <c r="X3" s="13" t="s">
        <v>38</v>
      </c>
      <c r="Y3" s="14" t="s">
        <v>39</v>
      </c>
      <c r="Z3" s="14" t="s">
        <v>40</v>
      </c>
      <c r="AA3" s="14" t="s">
        <v>41</v>
      </c>
      <c r="AB3" s="14" t="s">
        <v>42</v>
      </c>
      <c r="AC3" s="14" t="s">
        <v>43</v>
      </c>
      <c r="AD3" s="14" t="s">
        <v>44</v>
      </c>
      <c r="AE3" s="14" t="s">
        <v>45</v>
      </c>
      <c r="AF3" s="14" t="s">
        <v>46</v>
      </c>
      <c r="AG3" s="14" t="s">
        <v>47</v>
      </c>
      <c r="AH3" s="13" t="s">
        <v>48</v>
      </c>
      <c r="AI3" s="13" t="s">
        <v>49</v>
      </c>
    </row>
    <row r="4" ht="13.5" customHeight="1">
      <c r="A4" s="15">
        <v>4.0</v>
      </c>
      <c r="B4" s="15" t="s">
        <v>50</v>
      </c>
      <c r="C4" s="15" t="s">
        <v>51</v>
      </c>
      <c r="D4" s="15" t="s">
        <v>52</v>
      </c>
      <c r="E4" s="15" t="s">
        <v>53</v>
      </c>
      <c r="F4" s="15">
        <v>1.0</v>
      </c>
      <c r="G4" s="15">
        <v>1.0</v>
      </c>
      <c r="H4" s="16">
        <v>6.6</v>
      </c>
      <c r="I4" s="16">
        <v>30.0</v>
      </c>
      <c r="J4" s="16">
        <v>4.54545454545455</v>
      </c>
      <c r="K4" s="16">
        <v>454.545454545455</v>
      </c>
      <c r="L4" s="17">
        <v>21.0</v>
      </c>
      <c r="M4" s="17">
        <v>45.0</v>
      </c>
      <c r="N4" s="15" t="s">
        <v>54</v>
      </c>
      <c r="O4" s="15" t="s">
        <v>55</v>
      </c>
      <c r="P4" s="16">
        <v>53.03030303</v>
      </c>
      <c r="Q4" s="16">
        <v>6000.0</v>
      </c>
      <c r="R4" s="16">
        <v>2100000.0</v>
      </c>
      <c r="S4" s="16">
        <v>10000.0</v>
      </c>
      <c r="T4" s="16">
        <v>0.0</v>
      </c>
      <c r="U4" s="18">
        <v>0.0</v>
      </c>
      <c r="V4" s="18">
        <v>2100000.0</v>
      </c>
      <c r="W4" s="18">
        <v>300000.0</v>
      </c>
      <c r="X4" s="18">
        <v>1800000.0</v>
      </c>
      <c r="Y4" s="19">
        <v>0.0</v>
      </c>
      <c r="Z4" s="19">
        <v>470000.0</v>
      </c>
      <c r="AA4" s="19">
        <v>0.0</v>
      </c>
      <c r="AB4" s="20">
        <v>180000.0</v>
      </c>
      <c r="AC4" s="20">
        <v>0.0</v>
      </c>
      <c r="AD4" s="20">
        <v>0.0</v>
      </c>
      <c r="AE4" s="20">
        <v>188010.0</v>
      </c>
      <c r="AF4" s="19">
        <v>961990.0</v>
      </c>
      <c r="AG4" s="19">
        <v>1150000.0</v>
      </c>
      <c r="AH4" s="15"/>
      <c r="AI4" s="15"/>
    </row>
    <row r="5" ht="13.5" customHeight="1">
      <c r="A5" s="15">
        <v>5.0</v>
      </c>
      <c r="B5" s="15" t="s">
        <v>50</v>
      </c>
      <c r="C5" s="15" t="s">
        <v>56</v>
      </c>
      <c r="D5" s="15" t="s">
        <v>52</v>
      </c>
      <c r="E5" s="15" t="s">
        <v>53</v>
      </c>
      <c r="F5" s="15">
        <v>1.0</v>
      </c>
      <c r="G5" s="15">
        <v>1.0</v>
      </c>
      <c r="H5" s="16">
        <v>10.5</v>
      </c>
      <c r="I5" s="16">
        <v>28.0</v>
      </c>
      <c r="J5" s="16">
        <v>2.66666666666667</v>
      </c>
      <c r="K5" s="16">
        <v>266.666666666667</v>
      </c>
      <c r="L5" s="17">
        <v>21.0</v>
      </c>
      <c r="M5" s="17">
        <v>45.0</v>
      </c>
      <c r="N5" s="15" t="s">
        <v>54</v>
      </c>
      <c r="O5" s="15" t="s">
        <v>55</v>
      </c>
      <c r="P5" s="16">
        <v>47.71428571</v>
      </c>
      <c r="Q5" s="16">
        <v>6000.0</v>
      </c>
      <c r="R5" s="16">
        <v>3006000.0</v>
      </c>
      <c r="S5" s="16">
        <v>25000.0</v>
      </c>
      <c r="T5" s="16">
        <v>110000.0</v>
      </c>
      <c r="U5" s="18">
        <v>560000.0</v>
      </c>
      <c r="V5" s="18">
        <v>3566000.0</v>
      </c>
      <c r="W5" s="18">
        <v>810000.0</v>
      </c>
      <c r="X5" s="18">
        <v>2756000.0</v>
      </c>
      <c r="Y5" s="19">
        <v>0.0</v>
      </c>
      <c r="Z5" s="19">
        <v>540500.0</v>
      </c>
      <c r="AA5" s="19">
        <v>0.0</v>
      </c>
      <c r="AB5" s="20">
        <v>225000.0</v>
      </c>
      <c r="AC5" s="20">
        <v>0.0</v>
      </c>
      <c r="AD5" s="20">
        <v>0.0</v>
      </c>
      <c r="AE5" s="20">
        <v>879950.0</v>
      </c>
      <c r="AF5" s="19">
        <v>1110550.0</v>
      </c>
      <c r="AG5" s="19">
        <v>1990500.0</v>
      </c>
      <c r="AH5" s="15"/>
      <c r="AI5" s="15"/>
    </row>
    <row r="6" ht="13.5" customHeight="1">
      <c r="A6" s="15">
        <v>6.0</v>
      </c>
      <c r="B6" s="15" t="s">
        <v>50</v>
      </c>
      <c r="C6" s="15" t="s">
        <v>57</v>
      </c>
      <c r="D6" s="15" t="s">
        <v>52</v>
      </c>
      <c r="E6" s="15" t="s">
        <v>53</v>
      </c>
      <c r="F6" s="15">
        <v>1.0</v>
      </c>
      <c r="G6" s="15">
        <v>1.0</v>
      </c>
      <c r="H6" s="16">
        <v>4.8</v>
      </c>
      <c r="I6" s="16">
        <v>10.0</v>
      </c>
      <c r="J6" s="16">
        <v>2.08333333333333</v>
      </c>
      <c r="K6" s="16">
        <v>208.333333333333</v>
      </c>
      <c r="L6" s="17">
        <v>21.0</v>
      </c>
      <c r="M6" s="17">
        <v>45.0</v>
      </c>
      <c r="N6" s="15" t="s">
        <v>54</v>
      </c>
      <c r="O6" s="15" t="s">
        <v>55</v>
      </c>
      <c r="P6" s="16">
        <v>59.375</v>
      </c>
      <c r="Q6" s="16">
        <v>6000.0</v>
      </c>
      <c r="R6" s="16">
        <v>1710000.0</v>
      </c>
      <c r="S6" s="16">
        <v>30000.0</v>
      </c>
      <c r="T6" s="16">
        <v>0.0</v>
      </c>
      <c r="U6" s="18">
        <v>0.0</v>
      </c>
      <c r="V6" s="18">
        <v>1710000.0</v>
      </c>
      <c r="W6" s="18">
        <v>300000.0</v>
      </c>
      <c r="X6" s="18">
        <v>1410000.0</v>
      </c>
      <c r="Y6" s="19">
        <v>0.0</v>
      </c>
      <c r="Z6" s="19">
        <v>169000.0</v>
      </c>
      <c r="AA6" s="19">
        <v>0.0</v>
      </c>
      <c r="AB6" s="20">
        <v>100000.0</v>
      </c>
      <c r="AC6" s="20">
        <v>0.0</v>
      </c>
      <c r="AD6" s="20">
        <v>0.0</v>
      </c>
      <c r="AE6" s="20">
        <v>799950.0</v>
      </c>
      <c r="AF6" s="19">
        <v>341050.0</v>
      </c>
      <c r="AG6" s="19">
        <v>1141000.0</v>
      </c>
      <c r="AH6" s="15"/>
      <c r="AI6" s="15"/>
    </row>
    <row r="7" ht="13.5" customHeight="1">
      <c r="A7" s="15">
        <v>7.0</v>
      </c>
      <c r="B7" s="15" t="s">
        <v>50</v>
      </c>
      <c r="C7" s="15" t="s">
        <v>58</v>
      </c>
      <c r="D7" s="15" t="s">
        <v>52</v>
      </c>
      <c r="E7" s="15" t="s">
        <v>53</v>
      </c>
      <c r="F7" s="15">
        <v>1.0</v>
      </c>
      <c r="G7" s="15">
        <v>1.0</v>
      </c>
      <c r="H7" s="16">
        <v>4.5</v>
      </c>
      <c r="I7" s="16">
        <v>16.0</v>
      </c>
      <c r="J7" s="16">
        <v>3.55555555555556</v>
      </c>
      <c r="K7" s="16">
        <v>355.555555555556</v>
      </c>
      <c r="L7" s="17">
        <v>21.0</v>
      </c>
      <c r="M7" s="17">
        <v>45.0</v>
      </c>
      <c r="N7" s="15" t="s">
        <v>54</v>
      </c>
      <c r="O7" s="15" t="s">
        <v>55</v>
      </c>
      <c r="P7" s="16">
        <v>50.0</v>
      </c>
      <c r="Q7" s="16">
        <v>6000.0</v>
      </c>
      <c r="R7" s="16">
        <v>1350000.0</v>
      </c>
      <c r="S7" s="16">
        <v>25000.0</v>
      </c>
      <c r="T7" s="16">
        <v>100000.0</v>
      </c>
      <c r="U7" s="18">
        <v>0.0</v>
      </c>
      <c r="V7" s="18">
        <v>1350000.0</v>
      </c>
      <c r="W7" s="18">
        <v>500000.0</v>
      </c>
      <c r="X7" s="18">
        <v>850000.0</v>
      </c>
      <c r="Y7" s="19">
        <v>0.0</v>
      </c>
      <c r="Z7" s="19">
        <v>152000.0</v>
      </c>
      <c r="AA7" s="19">
        <v>0.0</v>
      </c>
      <c r="AB7" s="20">
        <v>0.0</v>
      </c>
      <c r="AC7" s="20">
        <v>0.0</v>
      </c>
      <c r="AD7" s="20">
        <v>0.0</v>
      </c>
      <c r="AE7" s="20">
        <v>600000.0</v>
      </c>
      <c r="AF7" s="19">
        <v>98000.0</v>
      </c>
      <c r="AG7" s="19">
        <v>698000.0</v>
      </c>
      <c r="AH7" s="15"/>
      <c r="AI7" s="15"/>
    </row>
    <row r="8" ht="13.5" customHeight="1">
      <c r="A8" s="15">
        <v>8.0</v>
      </c>
      <c r="B8" s="15" t="s">
        <v>50</v>
      </c>
      <c r="C8" s="15" t="s">
        <v>59</v>
      </c>
      <c r="D8" s="15" t="s">
        <v>52</v>
      </c>
      <c r="E8" s="15" t="s">
        <v>53</v>
      </c>
      <c r="F8" s="15">
        <v>1.0</v>
      </c>
      <c r="G8" s="15">
        <v>1.0</v>
      </c>
      <c r="H8" s="16">
        <v>3.6</v>
      </c>
      <c r="I8" s="16">
        <v>13.0</v>
      </c>
      <c r="J8" s="16">
        <v>3.61111111111111</v>
      </c>
      <c r="K8" s="16">
        <v>361.111111111111</v>
      </c>
      <c r="L8" s="17">
        <v>21.0</v>
      </c>
      <c r="M8" s="17">
        <v>45.0</v>
      </c>
      <c r="N8" s="15" t="s">
        <v>54</v>
      </c>
      <c r="O8" s="15" t="s">
        <v>55</v>
      </c>
      <c r="P8" s="16">
        <v>45.83333333</v>
      </c>
      <c r="Q8" s="16">
        <v>6000.0</v>
      </c>
      <c r="R8" s="16">
        <v>990000.0</v>
      </c>
      <c r="S8" s="16">
        <v>25000.0</v>
      </c>
      <c r="T8" s="16">
        <v>0.0</v>
      </c>
      <c r="U8" s="18">
        <v>0.0</v>
      </c>
      <c r="V8" s="18">
        <v>990000.0</v>
      </c>
      <c r="W8" s="18">
        <v>325000.0</v>
      </c>
      <c r="X8" s="18">
        <v>665000.0</v>
      </c>
      <c r="Y8" s="19">
        <v>0.0</v>
      </c>
      <c r="Z8" s="19">
        <v>202400.0</v>
      </c>
      <c r="AA8" s="19">
        <v>0.0</v>
      </c>
      <c r="AB8" s="20">
        <v>0.0</v>
      </c>
      <c r="AC8" s="20">
        <v>0.0</v>
      </c>
      <c r="AD8" s="20">
        <v>0.0</v>
      </c>
      <c r="AE8" s="20">
        <v>450000.0</v>
      </c>
      <c r="AF8" s="19">
        <v>12600.0</v>
      </c>
      <c r="AG8" s="19">
        <v>462600.0</v>
      </c>
      <c r="AH8" s="15"/>
      <c r="AI8" s="15"/>
    </row>
    <row r="9" ht="13.5" customHeight="1">
      <c r="A9" s="15">
        <v>9.0</v>
      </c>
      <c r="B9" s="15" t="s">
        <v>50</v>
      </c>
      <c r="C9" s="15" t="s">
        <v>60</v>
      </c>
      <c r="D9" s="15" t="s">
        <v>52</v>
      </c>
      <c r="E9" s="15" t="s">
        <v>53</v>
      </c>
      <c r="F9" s="15">
        <v>1.0</v>
      </c>
      <c r="G9" s="15">
        <v>1.0</v>
      </c>
      <c r="H9" s="16">
        <v>5.1</v>
      </c>
      <c r="I9" s="16">
        <v>5.0</v>
      </c>
      <c r="J9" s="16">
        <v>0.980392156862745</v>
      </c>
      <c r="K9" s="16">
        <v>98.0392156862745</v>
      </c>
      <c r="L9" s="17">
        <v>21.0</v>
      </c>
      <c r="M9" s="17">
        <v>45.0</v>
      </c>
      <c r="N9" s="15" t="s">
        <v>54</v>
      </c>
      <c r="O9" s="15" t="s">
        <v>55</v>
      </c>
      <c r="P9" s="16">
        <v>48.03921569</v>
      </c>
      <c r="Q9" s="16">
        <v>6000.0</v>
      </c>
      <c r="R9" s="16">
        <v>1470000.0</v>
      </c>
      <c r="S9" s="16">
        <v>25000.0</v>
      </c>
      <c r="T9" s="16">
        <v>20000.0</v>
      </c>
      <c r="U9" s="18">
        <v>0.0</v>
      </c>
      <c r="V9" s="18">
        <v>1470000.0</v>
      </c>
      <c r="W9" s="18">
        <v>145000.0</v>
      </c>
      <c r="X9" s="18">
        <v>1325000.0</v>
      </c>
      <c r="Y9" s="19">
        <v>0.0</v>
      </c>
      <c r="Z9" s="19">
        <v>170400.0</v>
      </c>
      <c r="AA9" s="19">
        <v>0.0</v>
      </c>
      <c r="AB9" s="20">
        <v>0.0</v>
      </c>
      <c r="AC9" s="20">
        <v>0.0</v>
      </c>
      <c r="AD9" s="20">
        <v>0.0</v>
      </c>
      <c r="AE9" s="20">
        <v>0.0</v>
      </c>
      <c r="AF9" s="19">
        <v>1134600.0</v>
      </c>
      <c r="AG9" s="19">
        <v>1134600.0</v>
      </c>
      <c r="AH9" s="15" t="s">
        <v>61</v>
      </c>
      <c r="AI9" s="15" t="s">
        <v>62</v>
      </c>
    </row>
    <row r="10" ht="13.5" customHeight="1">
      <c r="A10" s="15">
        <v>10.0</v>
      </c>
      <c r="B10" s="15" t="s">
        <v>50</v>
      </c>
      <c r="C10" s="15" t="s">
        <v>63</v>
      </c>
      <c r="D10" s="15" t="s">
        <v>52</v>
      </c>
      <c r="E10" s="15" t="s">
        <v>53</v>
      </c>
      <c r="F10" s="15">
        <v>1.0</v>
      </c>
      <c r="G10" s="15">
        <v>1.0</v>
      </c>
      <c r="H10" s="16">
        <v>3.2</v>
      </c>
      <c r="I10" s="16">
        <v>10.0</v>
      </c>
      <c r="J10" s="16">
        <v>3.125</v>
      </c>
      <c r="K10" s="16">
        <v>312.5</v>
      </c>
      <c r="L10" s="17">
        <v>21.0</v>
      </c>
      <c r="M10" s="17">
        <v>45.0</v>
      </c>
      <c r="N10" s="15" t="s">
        <v>54</v>
      </c>
      <c r="O10" s="15" t="s">
        <v>55</v>
      </c>
      <c r="P10" s="16">
        <v>60.3125</v>
      </c>
      <c r="Q10" s="16">
        <v>6000.0</v>
      </c>
      <c r="R10" s="16">
        <v>1158000.0</v>
      </c>
      <c r="S10" s="16">
        <v>32000.0</v>
      </c>
      <c r="T10" s="16">
        <v>20000.0</v>
      </c>
      <c r="U10" s="18">
        <v>0.0</v>
      </c>
      <c r="V10" s="18">
        <v>1158000.0</v>
      </c>
      <c r="W10" s="18">
        <v>340000.0</v>
      </c>
      <c r="X10" s="18">
        <v>818000.0</v>
      </c>
      <c r="Y10" s="19">
        <v>0.0</v>
      </c>
      <c r="Z10" s="19">
        <v>184800.0</v>
      </c>
      <c r="AA10" s="19">
        <v>0.0</v>
      </c>
      <c r="AB10" s="20">
        <v>0.0</v>
      </c>
      <c r="AC10" s="20">
        <v>0.0</v>
      </c>
      <c r="AD10" s="20">
        <v>0.0</v>
      </c>
      <c r="AE10" s="20">
        <v>450000.0</v>
      </c>
      <c r="AF10" s="19">
        <v>183200.0</v>
      </c>
      <c r="AG10" s="19">
        <v>633200.0</v>
      </c>
      <c r="AH10" s="15"/>
      <c r="AI10" s="15" t="s">
        <v>64</v>
      </c>
    </row>
    <row r="11" ht="13.5" customHeight="1">
      <c r="A11" s="15">
        <v>11.0</v>
      </c>
      <c r="B11" s="15" t="s">
        <v>50</v>
      </c>
      <c r="C11" s="15" t="s">
        <v>65</v>
      </c>
      <c r="D11" s="15" t="s">
        <v>52</v>
      </c>
      <c r="E11" s="15" t="s">
        <v>53</v>
      </c>
      <c r="F11" s="15">
        <v>1.0</v>
      </c>
      <c r="G11" s="15">
        <v>1.0</v>
      </c>
      <c r="H11" s="16">
        <v>10.0</v>
      </c>
      <c r="I11" s="16">
        <v>65.0</v>
      </c>
      <c r="J11" s="16">
        <v>6.5</v>
      </c>
      <c r="K11" s="16">
        <v>650.0</v>
      </c>
      <c r="L11" s="17">
        <v>21.0</v>
      </c>
      <c r="M11" s="17">
        <v>45.0</v>
      </c>
      <c r="N11" s="15" t="s">
        <v>54</v>
      </c>
      <c r="O11" s="15" t="s">
        <v>55</v>
      </c>
      <c r="P11" s="16">
        <v>60.5</v>
      </c>
      <c r="Q11" s="16">
        <v>6000.0</v>
      </c>
      <c r="R11" s="16">
        <v>3630000.0</v>
      </c>
      <c r="S11" s="16">
        <v>7539.0</v>
      </c>
      <c r="T11" s="16">
        <v>940000.0</v>
      </c>
      <c r="U11" s="18">
        <v>2400000.0</v>
      </c>
      <c r="V11" s="18">
        <v>6030000.0</v>
      </c>
      <c r="W11" s="18">
        <v>1430035.0</v>
      </c>
      <c r="X11" s="18">
        <v>4599965.0</v>
      </c>
      <c r="Y11" s="19">
        <v>0.0</v>
      </c>
      <c r="Z11" s="19">
        <v>755000.0</v>
      </c>
      <c r="AA11" s="19">
        <v>0.0</v>
      </c>
      <c r="AB11" s="20">
        <v>0.0</v>
      </c>
      <c r="AC11" s="20">
        <v>0.0</v>
      </c>
      <c r="AD11" s="20">
        <v>0.0</v>
      </c>
      <c r="AE11" s="20">
        <v>400000.0</v>
      </c>
      <c r="AF11" s="19">
        <v>3124965.0</v>
      </c>
      <c r="AG11" s="19">
        <v>3524965.0</v>
      </c>
      <c r="AH11" s="15"/>
      <c r="AI11" s="15" t="s">
        <v>66</v>
      </c>
    </row>
    <row r="12" ht="13.5" customHeight="1">
      <c r="A12" s="15">
        <v>12.0</v>
      </c>
      <c r="B12" s="15" t="s">
        <v>50</v>
      </c>
      <c r="C12" s="15" t="s">
        <v>67</v>
      </c>
      <c r="D12" s="15" t="s">
        <v>52</v>
      </c>
      <c r="E12" s="15" t="s">
        <v>53</v>
      </c>
      <c r="F12" s="15">
        <v>1.0</v>
      </c>
      <c r="G12" s="15">
        <v>1.0</v>
      </c>
      <c r="H12" s="16">
        <v>5.5</v>
      </c>
      <c r="I12" s="16">
        <v>40.0</v>
      </c>
      <c r="J12" s="16">
        <v>7.27272727272727</v>
      </c>
      <c r="K12" s="16">
        <v>727.272727272727</v>
      </c>
      <c r="L12" s="17">
        <v>21.0</v>
      </c>
      <c r="M12" s="17">
        <v>45.0</v>
      </c>
      <c r="N12" s="15" t="s">
        <v>54</v>
      </c>
      <c r="O12" s="15" t="s">
        <v>55</v>
      </c>
      <c r="P12" s="16">
        <v>53.09090909</v>
      </c>
      <c r="Q12" s="16">
        <v>6000.0</v>
      </c>
      <c r="R12" s="16">
        <v>1752000.0</v>
      </c>
      <c r="S12" s="16">
        <v>8550.0</v>
      </c>
      <c r="T12" s="16">
        <v>60000.0</v>
      </c>
      <c r="U12" s="18">
        <v>480000.0</v>
      </c>
      <c r="V12" s="18">
        <v>2232000.0</v>
      </c>
      <c r="W12" s="18">
        <v>402000.0</v>
      </c>
      <c r="X12" s="18">
        <v>1830000.0</v>
      </c>
      <c r="Y12" s="19">
        <v>0.0</v>
      </c>
      <c r="Z12" s="19">
        <v>242000.0</v>
      </c>
      <c r="AA12" s="19">
        <v>0.0</v>
      </c>
      <c r="AB12" s="20">
        <v>0.0</v>
      </c>
      <c r="AC12" s="20">
        <v>0.0</v>
      </c>
      <c r="AD12" s="20">
        <v>0.0</v>
      </c>
      <c r="AE12" s="20">
        <v>0.0</v>
      </c>
      <c r="AF12" s="19">
        <v>1588000.0</v>
      </c>
      <c r="AG12" s="19">
        <v>1588000.0</v>
      </c>
      <c r="AH12" s="15"/>
      <c r="AI12" s="15" t="s">
        <v>68</v>
      </c>
    </row>
    <row r="13" ht="13.5" customHeight="1">
      <c r="A13" s="15">
        <v>14.0</v>
      </c>
      <c r="B13" s="15" t="s">
        <v>69</v>
      </c>
      <c r="C13" s="15" t="s">
        <v>70</v>
      </c>
      <c r="D13" s="15" t="s">
        <v>52</v>
      </c>
      <c r="E13" s="15" t="s">
        <v>71</v>
      </c>
      <c r="F13" s="15">
        <v>2.0</v>
      </c>
      <c r="G13" s="15">
        <v>1.0</v>
      </c>
      <c r="H13" s="16">
        <v>7.26</v>
      </c>
      <c r="I13" s="16">
        <v>9.0</v>
      </c>
      <c r="J13" s="16">
        <v>1.2396694214876</v>
      </c>
      <c r="K13" s="16">
        <v>123.96694214876</v>
      </c>
      <c r="L13" s="17">
        <v>21.0</v>
      </c>
      <c r="M13" s="17">
        <v>45.0</v>
      </c>
      <c r="N13" s="15" t="s">
        <v>72</v>
      </c>
      <c r="O13" s="15" t="s">
        <v>55</v>
      </c>
      <c r="P13" s="16">
        <v>59.36639118</v>
      </c>
      <c r="Q13" s="16">
        <v>7500.0</v>
      </c>
      <c r="R13" s="16">
        <v>3232500.0</v>
      </c>
      <c r="S13" s="16">
        <v>22222.22222</v>
      </c>
      <c r="T13" s="16">
        <v>100000.0</v>
      </c>
      <c r="U13" s="18">
        <v>270000.0</v>
      </c>
      <c r="V13" s="18">
        <v>3502500.0</v>
      </c>
      <c r="W13" s="18">
        <v>300000.0</v>
      </c>
      <c r="X13" s="18">
        <v>3202500.0</v>
      </c>
      <c r="Y13" s="19">
        <v>0.0</v>
      </c>
      <c r="Z13" s="19">
        <v>249240.0</v>
      </c>
      <c r="AA13" s="19">
        <v>0.0</v>
      </c>
      <c r="AB13" s="20">
        <v>120000.0</v>
      </c>
      <c r="AC13" s="20">
        <v>20000.0</v>
      </c>
      <c r="AD13" s="20">
        <v>0.0</v>
      </c>
      <c r="AE13" s="20">
        <v>0.0</v>
      </c>
      <c r="AF13" s="19">
        <v>2813260.0</v>
      </c>
      <c r="AG13" s="19">
        <v>2813260.0</v>
      </c>
      <c r="AH13" s="15"/>
      <c r="AI13" s="15" t="s">
        <v>73</v>
      </c>
    </row>
    <row r="14" ht="13.5" customHeight="1">
      <c r="A14" s="15">
        <v>18.0</v>
      </c>
      <c r="B14" s="15" t="s">
        <v>74</v>
      </c>
      <c r="C14" s="15" t="s">
        <v>51</v>
      </c>
      <c r="D14" s="15" t="s">
        <v>52</v>
      </c>
      <c r="E14" s="15" t="s">
        <v>53</v>
      </c>
      <c r="F14" s="15">
        <v>4.0</v>
      </c>
      <c r="G14" s="15">
        <v>2.0</v>
      </c>
      <c r="H14" s="16">
        <v>6.6</v>
      </c>
      <c r="I14" s="16">
        <v>30.0</v>
      </c>
      <c r="J14" s="16">
        <v>4.54545454545455</v>
      </c>
      <c r="K14" s="16">
        <v>454.545454545455</v>
      </c>
      <c r="L14" s="17">
        <v>21.0</v>
      </c>
      <c r="M14" s="17">
        <v>45.0</v>
      </c>
      <c r="N14" s="15" t="s">
        <v>72</v>
      </c>
      <c r="O14" s="15" t="s">
        <v>75</v>
      </c>
      <c r="P14" s="16">
        <v>63.86363636</v>
      </c>
      <c r="Q14" s="16">
        <v>7500.0</v>
      </c>
      <c r="R14" s="16">
        <v>3161250.0</v>
      </c>
      <c r="S14" s="16">
        <v>6666.666667</v>
      </c>
      <c r="T14" s="16">
        <v>300000.0</v>
      </c>
      <c r="U14" s="18">
        <v>0.0</v>
      </c>
      <c r="V14" s="18">
        <v>3161250.0</v>
      </c>
      <c r="W14" s="18">
        <v>500000.0</v>
      </c>
      <c r="X14" s="18">
        <v>2661250.0</v>
      </c>
      <c r="Y14" s="19">
        <v>0.0</v>
      </c>
      <c r="Z14" s="19">
        <v>397200.0</v>
      </c>
      <c r="AA14" s="19">
        <v>0.0</v>
      </c>
      <c r="AB14" s="20">
        <v>120000.0</v>
      </c>
      <c r="AC14" s="20">
        <v>10000.0</v>
      </c>
      <c r="AD14" s="20">
        <v>0.0</v>
      </c>
      <c r="AE14" s="20">
        <v>935000.0</v>
      </c>
      <c r="AF14" s="19">
        <v>1199050.0</v>
      </c>
      <c r="AG14" s="19">
        <v>2134050.0</v>
      </c>
      <c r="AH14" s="15" t="s">
        <v>76</v>
      </c>
      <c r="AI14" s="15" t="s">
        <v>77</v>
      </c>
    </row>
    <row r="15" ht="13.5" customHeight="1">
      <c r="A15" s="15">
        <v>19.0</v>
      </c>
      <c r="B15" s="15" t="s">
        <v>74</v>
      </c>
      <c r="C15" s="15" t="s">
        <v>56</v>
      </c>
      <c r="D15" s="15" t="s">
        <v>52</v>
      </c>
      <c r="E15" s="15" t="s">
        <v>53</v>
      </c>
      <c r="F15" s="15">
        <v>4.0</v>
      </c>
      <c r="G15" s="15">
        <v>2.0</v>
      </c>
      <c r="H15" s="16">
        <v>10.5</v>
      </c>
      <c r="I15" s="16">
        <v>28.0</v>
      </c>
      <c r="J15" s="16">
        <v>2.66666666666667</v>
      </c>
      <c r="K15" s="16">
        <v>266.666666666667</v>
      </c>
      <c r="L15" s="17">
        <v>21.0</v>
      </c>
      <c r="M15" s="17">
        <v>45.0</v>
      </c>
      <c r="N15" s="15" t="s">
        <v>72</v>
      </c>
      <c r="O15" s="15" t="s">
        <v>75</v>
      </c>
      <c r="P15" s="16">
        <v>45.40952381</v>
      </c>
      <c r="Q15" s="16">
        <v>7500.0</v>
      </c>
      <c r="R15" s="16">
        <v>3576000.0</v>
      </c>
      <c r="S15" s="16">
        <v>7000.0</v>
      </c>
      <c r="T15" s="16">
        <v>30600.0</v>
      </c>
      <c r="U15" s="18">
        <v>676000.0</v>
      </c>
      <c r="V15" s="18">
        <v>4252000.0</v>
      </c>
      <c r="W15" s="18">
        <v>226600.0</v>
      </c>
      <c r="X15" s="18">
        <v>4025400.0</v>
      </c>
      <c r="Y15" s="19">
        <v>0.0</v>
      </c>
      <c r="Z15" s="19">
        <v>553500.0</v>
      </c>
      <c r="AA15" s="19">
        <v>0.0</v>
      </c>
      <c r="AB15" s="20">
        <v>0.0</v>
      </c>
      <c r="AC15" s="20">
        <v>0.0</v>
      </c>
      <c r="AD15" s="20">
        <v>0.0</v>
      </c>
      <c r="AE15" s="20">
        <v>0.0</v>
      </c>
      <c r="AF15" s="19">
        <v>3471900.0</v>
      </c>
      <c r="AG15" s="19">
        <v>3471900.0</v>
      </c>
      <c r="AH15" s="15"/>
      <c r="AI15" s="15" t="s">
        <v>78</v>
      </c>
    </row>
    <row r="16" ht="13.5" customHeight="1">
      <c r="A16" s="15">
        <v>20.0</v>
      </c>
      <c r="B16" s="15" t="s">
        <v>74</v>
      </c>
      <c r="C16" s="15" t="s">
        <v>57</v>
      </c>
      <c r="D16" s="15" t="s">
        <v>52</v>
      </c>
      <c r="E16" s="15" t="s">
        <v>53</v>
      </c>
      <c r="F16" s="15">
        <v>4.0</v>
      </c>
      <c r="G16" s="15">
        <v>2.0</v>
      </c>
      <c r="H16" s="16">
        <v>4.8</v>
      </c>
      <c r="I16" s="16">
        <v>8.0</v>
      </c>
      <c r="J16" s="16">
        <v>1.66666666666667</v>
      </c>
      <c r="K16" s="16">
        <v>166.666666666667</v>
      </c>
      <c r="L16" s="17">
        <v>21.0</v>
      </c>
      <c r="M16" s="17">
        <v>45.0</v>
      </c>
      <c r="N16" s="15" t="s">
        <v>72</v>
      </c>
      <c r="O16" s="15" t="s">
        <v>75</v>
      </c>
      <c r="P16" s="16">
        <v>65.72916667</v>
      </c>
      <c r="Q16" s="16">
        <v>7500.0</v>
      </c>
      <c r="R16" s="16">
        <v>2366250.0</v>
      </c>
      <c r="S16" s="15"/>
      <c r="T16" s="16">
        <v>200000.0</v>
      </c>
      <c r="U16" s="18">
        <v>0.0</v>
      </c>
      <c r="V16" s="18">
        <v>2366250.0</v>
      </c>
      <c r="W16" s="18">
        <v>200000.0</v>
      </c>
      <c r="X16" s="18">
        <v>2166250.0</v>
      </c>
      <c r="Y16" s="19">
        <v>0.0</v>
      </c>
      <c r="Z16" s="19">
        <v>135200.0</v>
      </c>
      <c r="AA16" s="19">
        <v>0.0</v>
      </c>
      <c r="AB16" s="20">
        <v>0.0</v>
      </c>
      <c r="AC16" s="20">
        <v>0.0</v>
      </c>
      <c r="AD16" s="20">
        <v>0.0</v>
      </c>
      <c r="AE16" s="20">
        <v>0.0</v>
      </c>
      <c r="AF16" s="19">
        <v>2031050.0</v>
      </c>
      <c r="AG16" s="19">
        <v>2031050.0</v>
      </c>
      <c r="AH16" s="15"/>
      <c r="AI16" s="15" t="s">
        <v>79</v>
      </c>
    </row>
    <row r="17" ht="13.5" customHeight="1">
      <c r="A17" s="15">
        <v>21.0</v>
      </c>
      <c r="B17" s="15" t="s">
        <v>74</v>
      </c>
      <c r="C17" s="15" t="s">
        <v>58</v>
      </c>
      <c r="D17" s="15" t="s">
        <v>52</v>
      </c>
      <c r="E17" s="15" t="s">
        <v>53</v>
      </c>
      <c r="F17" s="15">
        <v>4.0</v>
      </c>
      <c r="G17" s="15">
        <v>2.0</v>
      </c>
      <c r="H17" s="16">
        <v>4.5</v>
      </c>
      <c r="I17" s="16">
        <v>10.0</v>
      </c>
      <c r="J17" s="16">
        <v>2.22222222222222</v>
      </c>
      <c r="K17" s="16">
        <v>222.222222222222</v>
      </c>
      <c r="L17" s="17">
        <v>21.0</v>
      </c>
      <c r="M17" s="17">
        <v>45.0</v>
      </c>
      <c r="N17" s="15" t="s">
        <v>80</v>
      </c>
      <c r="O17" s="15" t="s">
        <v>75</v>
      </c>
      <c r="P17" s="16">
        <v>55.77777778</v>
      </c>
      <c r="Q17" s="16">
        <v>7500.0</v>
      </c>
      <c r="R17" s="16">
        <v>1882500.0</v>
      </c>
      <c r="S17" s="16">
        <v>15000.0</v>
      </c>
      <c r="T17" s="16">
        <v>50000.0</v>
      </c>
      <c r="U17" s="18">
        <v>0.0</v>
      </c>
      <c r="V17" s="18">
        <v>1882500.0</v>
      </c>
      <c r="W17" s="18">
        <v>200000.0</v>
      </c>
      <c r="X17" s="18">
        <v>1682500.0</v>
      </c>
      <c r="Y17" s="19">
        <v>0.0</v>
      </c>
      <c r="Z17" s="19">
        <v>196500.0</v>
      </c>
      <c r="AA17" s="19">
        <v>0.0</v>
      </c>
      <c r="AB17" s="20">
        <v>40000.0</v>
      </c>
      <c r="AC17" s="20">
        <v>0.0</v>
      </c>
      <c r="AD17" s="20">
        <v>0.0</v>
      </c>
      <c r="AE17" s="20">
        <v>0.0</v>
      </c>
      <c r="AF17" s="19">
        <v>1446000.0</v>
      </c>
      <c r="AG17" s="19">
        <v>1446000.0</v>
      </c>
      <c r="AH17" s="15"/>
      <c r="AI17" s="15" t="s">
        <v>81</v>
      </c>
    </row>
    <row r="18" ht="13.5" customHeight="1">
      <c r="A18" s="15">
        <v>23.0</v>
      </c>
      <c r="B18" s="15" t="s">
        <v>74</v>
      </c>
      <c r="C18" s="15" t="s">
        <v>60</v>
      </c>
      <c r="D18" s="15" t="s">
        <v>52</v>
      </c>
      <c r="E18" s="15" t="s">
        <v>53</v>
      </c>
      <c r="F18" s="15">
        <v>4.0</v>
      </c>
      <c r="G18" s="15">
        <v>2.0</v>
      </c>
      <c r="H18" s="16">
        <v>5.1</v>
      </c>
      <c r="I18" s="16">
        <v>10.0</v>
      </c>
      <c r="J18" s="16">
        <v>1.96078431372549</v>
      </c>
      <c r="K18" s="16">
        <v>196.078431372549</v>
      </c>
      <c r="L18" s="17">
        <v>21.0</v>
      </c>
      <c r="M18" s="17">
        <v>45.0</v>
      </c>
      <c r="N18" s="15" t="s">
        <v>82</v>
      </c>
      <c r="O18" s="15" t="s">
        <v>75</v>
      </c>
      <c r="P18" s="16">
        <v>21.01960784</v>
      </c>
      <c r="Q18" s="16">
        <v>7500.0</v>
      </c>
      <c r="R18" s="16">
        <v>804000.0</v>
      </c>
      <c r="S18" s="16">
        <v>5000.0</v>
      </c>
      <c r="T18" s="16">
        <v>10000.0</v>
      </c>
      <c r="U18" s="18">
        <v>0.0</v>
      </c>
      <c r="V18" s="18">
        <v>804000.0</v>
      </c>
      <c r="W18" s="18">
        <v>60000.0</v>
      </c>
      <c r="X18" s="18">
        <v>744000.0</v>
      </c>
      <c r="Y18" s="19">
        <v>0.0</v>
      </c>
      <c r="Z18" s="19">
        <v>134400.0</v>
      </c>
      <c r="AA18" s="19">
        <v>0.0</v>
      </c>
      <c r="AB18" s="20">
        <v>0.0</v>
      </c>
      <c r="AC18" s="20">
        <v>0.0</v>
      </c>
      <c r="AD18" s="20">
        <v>0.0</v>
      </c>
      <c r="AE18" s="20">
        <v>0.0</v>
      </c>
      <c r="AF18" s="19">
        <v>609600.0</v>
      </c>
      <c r="AG18" s="19">
        <v>609600.0</v>
      </c>
      <c r="AH18" s="15"/>
      <c r="AI18" s="15" t="s">
        <v>83</v>
      </c>
    </row>
    <row r="19" ht="13.5" customHeight="1">
      <c r="A19" s="15">
        <v>24.0</v>
      </c>
      <c r="B19" s="15" t="s">
        <v>74</v>
      </c>
      <c r="C19" s="15" t="s">
        <v>63</v>
      </c>
      <c r="D19" s="15" t="s">
        <v>52</v>
      </c>
      <c r="E19" s="15" t="s">
        <v>53</v>
      </c>
      <c r="F19" s="15">
        <v>4.0</v>
      </c>
      <c r="G19" s="15">
        <v>2.0</v>
      </c>
      <c r="H19" s="16">
        <v>3.2</v>
      </c>
      <c r="I19" s="16">
        <v>3.0</v>
      </c>
      <c r="J19" s="16">
        <v>0.9375</v>
      </c>
      <c r="K19" s="16">
        <v>93.75</v>
      </c>
      <c r="L19" s="17">
        <v>21.0</v>
      </c>
      <c r="M19" s="17">
        <v>45.0</v>
      </c>
      <c r="N19" s="15" t="s">
        <v>72</v>
      </c>
      <c r="O19" s="15" t="s">
        <v>75</v>
      </c>
      <c r="P19" s="16">
        <v>37.5</v>
      </c>
      <c r="Q19" s="16">
        <v>7500.0</v>
      </c>
      <c r="R19" s="16">
        <v>900000.0</v>
      </c>
      <c r="S19" s="15"/>
      <c r="T19" s="16">
        <v>72000.0</v>
      </c>
      <c r="U19" s="18">
        <v>0.0</v>
      </c>
      <c r="V19" s="18">
        <v>900000.0</v>
      </c>
      <c r="W19" s="18">
        <v>72000.0</v>
      </c>
      <c r="X19" s="18">
        <v>828000.0</v>
      </c>
      <c r="Y19" s="19">
        <v>0.0</v>
      </c>
      <c r="Z19" s="19">
        <v>160000.0</v>
      </c>
      <c r="AA19" s="19">
        <v>0.0</v>
      </c>
      <c r="AB19" s="20">
        <v>0.0</v>
      </c>
      <c r="AC19" s="20">
        <v>0.0</v>
      </c>
      <c r="AD19" s="20">
        <v>0.0</v>
      </c>
      <c r="AE19" s="20">
        <v>0.0</v>
      </c>
      <c r="AF19" s="19">
        <v>668000.0</v>
      </c>
      <c r="AG19" s="19">
        <v>668000.0</v>
      </c>
      <c r="AH19" s="15" t="s">
        <v>61</v>
      </c>
      <c r="AI19" s="15" t="s">
        <v>84</v>
      </c>
    </row>
    <row r="20" ht="13.5" customHeight="1">
      <c r="A20" s="15">
        <v>25.0</v>
      </c>
      <c r="B20" s="15" t="s">
        <v>74</v>
      </c>
      <c r="C20" s="15" t="s">
        <v>65</v>
      </c>
      <c r="D20" s="15" t="s">
        <v>52</v>
      </c>
      <c r="E20" s="15" t="s">
        <v>53</v>
      </c>
      <c r="F20" s="15">
        <v>4.0</v>
      </c>
      <c r="G20" s="15">
        <v>2.0</v>
      </c>
      <c r="H20" s="16">
        <v>14.41</v>
      </c>
      <c r="I20" s="16">
        <v>30.0</v>
      </c>
      <c r="J20" s="16">
        <v>2.08188757807078</v>
      </c>
      <c r="K20" s="16">
        <v>208.188757807078</v>
      </c>
      <c r="L20" s="17">
        <v>21.0</v>
      </c>
      <c r="M20" s="17">
        <v>45.0</v>
      </c>
      <c r="N20" s="15" t="s">
        <v>72</v>
      </c>
      <c r="O20" s="15" t="s">
        <v>75</v>
      </c>
      <c r="P20" s="16">
        <v>52.42886884</v>
      </c>
      <c r="Q20" s="16">
        <v>7500.0</v>
      </c>
      <c r="R20" s="16">
        <v>5666250.0</v>
      </c>
      <c r="S20" s="16">
        <v>10000.0</v>
      </c>
      <c r="T20" s="16">
        <v>240000.0</v>
      </c>
      <c r="U20" s="18">
        <v>0.0</v>
      </c>
      <c r="V20" s="18">
        <v>5666250.0</v>
      </c>
      <c r="W20" s="18">
        <v>540000.0</v>
      </c>
      <c r="X20" s="18">
        <v>5126250.0</v>
      </c>
      <c r="Y20" s="19">
        <v>0.0</v>
      </c>
      <c r="Z20" s="19">
        <v>360840.0</v>
      </c>
      <c r="AA20" s="19">
        <v>0.0</v>
      </c>
      <c r="AB20" s="20">
        <v>100000.0</v>
      </c>
      <c r="AC20" s="20">
        <v>115000.0</v>
      </c>
      <c r="AD20" s="20">
        <v>0.0</v>
      </c>
      <c r="AE20" s="20">
        <v>0.0</v>
      </c>
      <c r="AF20" s="19">
        <v>4550410.0</v>
      </c>
      <c r="AG20" s="19">
        <v>4550410.0</v>
      </c>
      <c r="AH20" s="15"/>
      <c r="AI20" s="15" t="s">
        <v>85</v>
      </c>
    </row>
    <row r="21" ht="13.5" customHeight="1">
      <c r="A21" s="15">
        <v>26.0</v>
      </c>
      <c r="B21" s="15" t="s">
        <v>74</v>
      </c>
      <c r="C21" s="15" t="s">
        <v>67</v>
      </c>
      <c r="D21" s="15" t="s">
        <v>52</v>
      </c>
      <c r="E21" s="15" t="s">
        <v>53</v>
      </c>
      <c r="F21" s="15">
        <v>4.0</v>
      </c>
      <c r="G21" s="15">
        <v>2.0</v>
      </c>
      <c r="H21" s="16">
        <v>5.5</v>
      </c>
      <c r="I21" s="16">
        <v>50.0</v>
      </c>
      <c r="J21" s="16">
        <v>9.09090909090909</v>
      </c>
      <c r="K21" s="16">
        <v>909.090909090909</v>
      </c>
      <c r="L21" s="17">
        <v>21.0</v>
      </c>
      <c r="M21" s="17">
        <v>45.0</v>
      </c>
      <c r="N21" s="15" t="s">
        <v>72</v>
      </c>
      <c r="O21" s="15" t="s">
        <v>75</v>
      </c>
      <c r="P21" s="16">
        <v>53.54545455</v>
      </c>
      <c r="Q21" s="16">
        <v>7500.0</v>
      </c>
      <c r="R21" s="16">
        <v>2208750.0</v>
      </c>
      <c r="S21" s="16">
        <v>7000.0</v>
      </c>
      <c r="T21" s="16">
        <v>120000.0</v>
      </c>
      <c r="U21" s="18">
        <v>720000.0</v>
      </c>
      <c r="V21" s="18">
        <v>2928750.0</v>
      </c>
      <c r="W21" s="18">
        <v>470000.0</v>
      </c>
      <c r="X21" s="18">
        <v>2458750.0</v>
      </c>
      <c r="Y21" s="19">
        <v>0.0</v>
      </c>
      <c r="Z21" s="19">
        <v>282000.0</v>
      </c>
      <c r="AA21" s="19">
        <v>0.0</v>
      </c>
      <c r="AB21" s="20">
        <v>0.0</v>
      </c>
      <c r="AC21" s="20">
        <v>0.0</v>
      </c>
      <c r="AD21" s="20">
        <v>0.0</v>
      </c>
      <c r="AE21" s="20">
        <v>0.0</v>
      </c>
      <c r="AF21" s="19">
        <v>2176750.0</v>
      </c>
      <c r="AG21" s="19">
        <v>2176750.0</v>
      </c>
      <c r="AH21" s="15" t="s">
        <v>86</v>
      </c>
      <c r="AI21" s="15" t="s">
        <v>87</v>
      </c>
    </row>
    <row r="22" ht="13.5" customHeight="1">
      <c r="A22" s="15">
        <v>28.0</v>
      </c>
      <c r="B22" s="15" t="s">
        <v>88</v>
      </c>
      <c r="C22" s="15" t="s">
        <v>89</v>
      </c>
      <c r="D22" s="15" t="s">
        <v>52</v>
      </c>
      <c r="E22" s="15" t="s">
        <v>71</v>
      </c>
      <c r="F22" s="15">
        <v>6.0</v>
      </c>
      <c r="G22" s="15">
        <v>1.0</v>
      </c>
      <c r="H22" s="16">
        <v>6.35</v>
      </c>
      <c r="I22" s="16">
        <v>20.0</v>
      </c>
      <c r="J22" s="16">
        <v>3.1496062992126</v>
      </c>
      <c r="K22" s="16">
        <v>314.96062992126</v>
      </c>
      <c r="L22" s="17">
        <v>21.0</v>
      </c>
      <c r="M22" s="17">
        <v>45.0</v>
      </c>
      <c r="N22" s="15" t="s">
        <v>72</v>
      </c>
      <c r="O22" s="15" t="s">
        <v>75</v>
      </c>
      <c r="P22" s="16">
        <v>45.82677165</v>
      </c>
      <c r="Q22" s="16">
        <v>6000.0</v>
      </c>
      <c r="R22" s="16">
        <v>1746000.0</v>
      </c>
      <c r="S22" s="16">
        <v>15000.0</v>
      </c>
      <c r="T22" s="16">
        <v>200000.0</v>
      </c>
      <c r="U22" s="18">
        <v>0.0</v>
      </c>
      <c r="V22" s="18">
        <v>1746000.0</v>
      </c>
      <c r="W22" s="18">
        <v>500000.0</v>
      </c>
      <c r="X22" s="18">
        <v>1246000.0</v>
      </c>
      <c r="Y22" s="19">
        <v>0.0</v>
      </c>
      <c r="Z22" s="19">
        <v>236250.0</v>
      </c>
      <c r="AA22" s="19">
        <v>0.0</v>
      </c>
      <c r="AB22" s="20">
        <v>0.0</v>
      </c>
      <c r="AC22" s="20">
        <v>5000.0</v>
      </c>
      <c r="AD22" s="20">
        <v>0.0</v>
      </c>
      <c r="AE22" s="20">
        <v>0.0</v>
      </c>
      <c r="AF22" s="19">
        <v>1004750.0</v>
      </c>
      <c r="AG22" s="19">
        <v>1004750.0</v>
      </c>
      <c r="AH22" s="15"/>
      <c r="AI22" s="15" t="s">
        <v>90</v>
      </c>
    </row>
    <row r="23" ht="13.5" customHeight="1">
      <c r="A23" s="15">
        <v>34.0</v>
      </c>
      <c r="B23" s="15" t="s">
        <v>91</v>
      </c>
      <c r="C23" s="15" t="s">
        <v>67</v>
      </c>
      <c r="D23" s="15" t="s">
        <v>52</v>
      </c>
      <c r="E23" s="15" t="s">
        <v>53</v>
      </c>
      <c r="F23" s="15">
        <v>9.0</v>
      </c>
      <c r="G23" s="15">
        <v>1.0</v>
      </c>
      <c r="H23" s="16">
        <v>10.21</v>
      </c>
      <c r="I23" s="16">
        <v>32.0</v>
      </c>
      <c r="J23" s="16">
        <v>3.13418217433888</v>
      </c>
      <c r="K23" s="16">
        <v>313.418217433888</v>
      </c>
      <c r="L23" s="17">
        <v>21.0</v>
      </c>
      <c r="M23" s="17">
        <v>45.0</v>
      </c>
      <c r="N23" s="15" t="s">
        <v>72</v>
      </c>
      <c r="O23" s="15" t="s">
        <v>75</v>
      </c>
      <c r="P23" s="16">
        <v>50.0</v>
      </c>
      <c r="Q23" s="16">
        <v>6300.0</v>
      </c>
      <c r="R23" s="16">
        <v>3216150.0</v>
      </c>
      <c r="S23" s="16">
        <v>12000.0</v>
      </c>
      <c r="T23" s="16">
        <v>256000.0</v>
      </c>
      <c r="U23" s="18">
        <v>875000.0</v>
      </c>
      <c r="V23" s="18">
        <v>4091150.0</v>
      </c>
      <c r="W23" s="18">
        <v>640000.0</v>
      </c>
      <c r="X23" s="18">
        <v>3451150.0</v>
      </c>
      <c r="Y23" s="19">
        <v>0.0</v>
      </c>
      <c r="Z23" s="19">
        <v>485250.0</v>
      </c>
      <c r="AA23" s="19">
        <v>0.0</v>
      </c>
      <c r="AB23" s="20">
        <v>0.0</v>
      </c>
      <c r="AC23" s="20">
        <v>0.0</v>
      </c>
      <c r="AD23" s="20">
        <v>0.0</v>
      </c>
      <c r="AE23" s="20">
        <v>0.0</v>
      </c>
      <c r="AF23" s="19">
        <v>2965900.0</v>
      </c>
      <c r="AG23" s="19">
        <v>2965900.0</v>
      </c>
      <c r="AH23" s="15"/>
      <c r="AI23" s="15" t="s">
        <v>92</v>
      </c>
    </row>
    <row r="24" ht="13.5" customHeight="1">
      <c r="A24" s="15">
        <v>36.0</v>
      </c>
      <c r="B24" s="15" t="s">
        <v>93</v>
      </c>
      <c r="C24" s="15" t="s">
        <v>51</v>
      </c>
      <c r="D24" s="15" t="s">
        <v>52</v>
      </c>
      <c r="E24" s="15" t="s">
        <v>53</v>
      </c>
      <c r="F24" s="15">
        <v>10.0</v>
      </c>
      <c r="G24" s="15">
        <v>3.0</v>
      </c>
      <c r="H24" s="16">
        <v>6.6</v>
      </c>
      <c r="I24" s="16">
        <v>19.0</v>
      </c>
      <c r="J24" s="16">
        <v>2.87878787878788</v>
      </c>
      <c r="K24" s="16">
        <v>287.878787878788</v>
      </c>
      <c r="L24" s="17">
        <v>21.0</v>
      </c>
      <c r="M24" s="17">
        <v>45.0</v>
      </c>
      <c r="N24" s="15" t="s">
        <v>80</v>
      </c>
      <c r="O24" s="15" t="s">
        <v>94</v>
      </c>
      <c r="P24" s="16">
        <v>47.1969697</v>
      </c>
      <c r="Q24" s="16">
        <v>6300.0</v>
      </c>
      <c r="R24" s="16">
        <v>1962450.0</v>
      </c>
      <c r="S24" s="16">
        <v>12000.0</v>
      </c>
      <c r="T24" s="16">
        <v>25000.0</v>
      </c>
      <c r="U24" s="18">
        <v>0.0</v>
      </c>
      <c r="V24" s="18">
        <v>1962450.0</v>
      </c>
      <c r="W24" s="18">
        <v>253000.0</v>
      </c>
      <c r="X24" s="18">
        <v>1709450.0</v>
      </c>
      <c r="Y24" s="19">
        <v>0.0</v>
      </c>
      <c r="Z24" s="19">
        <v>349200.0</v>
      </c>
      <c r="AA24" s="19">
        <v>0.0</v>
      </c>
      <c r="AB24" s="20">
        <v>150000.0</v>
      </c>
      <c r="AC24" s="20">
        <v>0.0</v>
      </c>
      <c r="AD24" s="20">
        <v>0.0</v>
      </c>
      <c r="AE24" s="20">
        <v>0.0</v>
      </c>
      <c r="AF24" s="19">
        <v>1210250.0</v>
      </c>
      <c r="AG24" s="19">
        <v>1210250.0</v>
      </c>
      <c r="AH24" s="15"/>
      <c r="AI24" s="15" t="s">
        <v>95</v>
      </c>
    </row>
    <row r="25" ht="13.5" customHeight="1">
      <c r="A25" s="15">
        <v>37.0</v>
      </c>
      <c r="B25" s="15" t="s">
        <v>93</v>
      </c>
      <c r="C25" s="15" t="s">
        <v>57</v>
      </c>
      <c r="D25" s="15" t="s">
        <v>52</v>
      </c>
      <c r="E25" s="15" t="s">
        <v>53</v>
      </c>
      <c r="F25" s="15">
        <v>10.0</v>
      </c>
      <c r="G25" s="15">
        <v>3.0</v>
      </c>
      <c r="H25" s="16">
        <v>4.8</v>
      </c>
      <c r="I25" s="16">
        <v>9.0</v>
      </c>
      <c r="J25" s="16">
        <v>1.875</v>
      </c>
      <c r="K25" s="16">
        <v>187.5</v>
      </c>
      <c r="L25" s="17">
        <v>21.0</v>
      </c>
      <c r="M25" s="17">
        <v>45.0</v>
      </c>
      <c r="N25" s="15" t="s">
        <v>96</v>
      </c>
      <c r="O25" s="15" t="s">
        <v>94</v>
      </c>
      <c r="P25" s="16">
        <v>60.41666667</v>
      </c>
      <c r="Q25" s="16">
        <v>6300.0</v>
      </c>
      <c r="R25" s="16">
        <v>1827000.0</v>
      </c>
      <c r="S25" s="16">
        <v>0.0</v>
      </c>
      <c r="T25" s="16">
        <v>0.0</v>
      </c>
      <c r="U25" s="18">
        <v>0.0</v>
      </c>
      <c r="V25" s="18">
        <v>1827000.0</v>
      </c>
      <c r="W25" s="18">
        <v>0.0</v>
      </c>
      <c r="X25" s="18">
        <v>1827000.0</v>
      </c>
      <c r="Y25" s="19">
        <v>0.0</v>
      </c>
      <c r="Z25" s="19">
        <v>120000.0</v>
      </c>
      <c r="AA25" s="19">
        <v>0.0</v>
      </c>
      <c r="AB25" s="20">
        <v>0.0</v>
      </c>
      <c r="AC25" s="20">
        <v>0.0</v>
      </c>
      <c r="AD25" s="20">
        <v>0.0</v>
      </c>
      <c r="AE25" s="20">
        <v>0.0</v>
      </c>
      <c r="AF25" s="19">
        <v>1707000.0</v>
      </c>
      <c r="AG25" s="19">
        <v>1707000.0</v>
      </c>
      <c r="AH25" s="15"/>
      <c r="AI25" s="15"/>
    </row>
    <row r="26" ht="13.5" customHeight="1">
      <c r="A26" s="15">
        <v>38.0</v>
      </c>
      <c r="B26" s="15" t="s">
        <v>93</v>
      </c>
      <c r="C26" s="15" t="s">
        <v>65</v>
      </c>
      <c r="D26" s="15" t="s">
        <v>52</v>
      </c>
      <c r="E26" s="15" t="s">
        <v>53</v>
      </c>
      <c r="F26" s="15">
        <v>10.0</v>
      </c>
      <c r="G26" s="15">
        <v>3.0</v>
      </c>
      <c r="H26" s="16">
        <v>10.0</v>
      </c>
      <c r="I26" s="16">
        <v>32.0</v>
      </c>
      <c r="J26" s="16">
        <v>3.2</v>
      </c>
      <c r="K26" s="16">
        <v>320.0</v>
      </c>
      <c r="L26" s="17">
        <v>21.0</v>
      </c>
      <c r="M26" s="17">
        <v>45.0</v>
      </c>
      <c r="N26" s="15" t="s">
        <v>72</v>
      </c>
      <c r="O26" s="15" t="s">
        <v>75</v>
      </c>
      <c r="P26" s="16">
        <v>53.4</v>
      </c>
      <c r="Q26" s="16">
        <v>6300.0</v>
      </c>
      <c r="R26" s="16">
        <v>3364200.0</v>
      </c>
      <c r="S26" s="16">
        <v>0.0</v>
      </c>
      <c r="T26" s="16">
        <v>3216250.0</v>
      </c>
      <c r="U26" s="18">
        <v>3825000.0</v>
      </c>
      <c r="V26" s="18">
        <v>7189200.0</v>
      </c>
      <c r="W26" s="18">
        <v>3216250.0</v>
      </c>
      <c r="X26" s="18">
        <v>3972950.0</v>
      </c>
      <c r="Y26" s="19">
        <v>0.0</v>
      </c>
      <c r="Z26" s="19">
        <v>285000.0</v>
      </c>
      <c r="AA26" s="19">
        <v>0.0</v>
      </c>
      <c r="AB26" s="20">
        <v>0.0</v>
      </c>
      <c r="AC26" s="20">
        <v>0.0</v>
      </c>
      <c r="AD26" s="20">
        <v>0.0</v>
      </c>
      <c r="AE26" s="20">
        <v>0.0</v>
      </c>
      <c r="AF26" s="19">
        <v>3687950.0</v>
      </c>
      <c r="AG26" s="19">
        <v>3687950.0</v>
      </c>
      <c r="AH26" s="15"/>
      <c r="AI26" s="15" t="s">
        <v>97</v>
      </c>
    </row>
    <row r="27" ht="13.5" customHeight="1">
      <c r="A27" s="15">
        <v>39.0</v>
      </c>
      <c r="B27" s="15" t="s">
        <v>93</v>
      </c>
      <c r="C27" s="15" t="s">
        <v>67</v>
      </c>
      <c r="D27" s="15" t="s">
        <v>52</v>
      </c>
      <c r="E27" s="15" t="s">
        <v>53</v>
      </c>
      <c r="F27" s="15">
        <v>10.0</v>
      </c>
      <c r="G27" s="15">
        <v>3.0</v>
      </c>
      <c r="H27" s="16">
        <v>5.5</v>
      </c>
      <c r="I27" s="16">
        <v>18.0</v>
      </c>
      <c r="J27" s="16">
        <v>3.27272727272727</v>
      </c>
      <c r="K27" s="16">
        <v>327.272727272727</v>
      </c>
      <c r="L27" s="17">
        <v>21.0</v>
      </c>
      <c r="M27" s="17">
        <v>45.0</v>
      </c>
      <c r="N27" s="15" t="s">
        <v>72</v>
      </c>
      <c r="O27" s="15" t="s">
        <v>75</v>
      </c>
      <c r="P27" s="16">
        <v>47.0</v>
      </c>
      <c r="Q27" s="16">
        <v>6300.0</v>
      </c>
      <c r="R27" s="16">
        <v>1628550.0</v>
      </c>
      <c r="S27" s="16">
        <v>12000.0</v>
      </c>
      <c r="T27" s="16">
        <v>144000.0</v>
      </c>
      <c r="U27" s="18">
        <v>455000.0</v>
      </c>
      <c r="V27" s="18">
        <v>2083550.0</v>
      </c>
      <c r="W27" s="18">
        <v>360000.0</v>
      </c>
      <c r="X27" s="18">
        <v>1723550.0</v>
      </c>
      <c r="Y27" s="19">
        <v>0.0</v>
      </c>
      <c r="Z27" s="19">
        <v>282500.0</v>
      </c>
      <c r="AA27" s="19">
        <v>0.0</v>
      </c>
      <c r="AB27" s="20">
        <v>0.0</v>
      </c>
      <c r="AC27" s="20">
        <v>0.0</v>
      </c>
      <c r="AD27" s="20">
        <v>0.0</v>
      </c>
      <c r="AE27" s="20">
        <v>0.0</v>
      </c>
      <c r="AF27" s="19">
        <v>1441050.0</v>
      </c>
      <c r="AG27" s="19">
        <v>1441050.0</v>
      </c>
      <c r="AH27" s="15"/>
      <c r="AI27" s="15" t="s">
        <v>98</v>
      </c>
    </row>
    <row r="28" ht="13.5" customHeight="1">
      <c r="A28" s="15">
        <v>41.0</v>
      </c>
      <c r="B28" s="15" t="s">
        <v>99</v>
      </c>
      <c r="C28" s="15" t="s">
        <v>89</v>
      </c>
      <c r="D28" s="15" t="s">
        <v>52</v>
      </c>
      <c r="E28" s="15" t="s">
        <v>71</v>
      </c>
      <c r="F28" s="15">
        <v>16.0</v>
      </c>
      <c r="G28" s="15">
        <v>2.0</v>
      </c>
      <c r="H28" s="16">
        <v>6.35</v>
      </c>
      <c r="I28" s="16">
        <v>5.0</v>
      </c>
      <c r="J28" s="16">
        <v>0.78740157480315</v>
      </c>
      <c r="K28" s="16">
        <v>78.740157480315</v>
      </c>
      <c r="L28" s="17">
        <v>21.0</v>
      </c>
      <c r="M28" s="17">
        <v>45.0</v>
      </c>
      <c r="N28" s="15" t="s">
        <v>100</v>
      </c>
      <c r="O28" s="15" t="s">
        <v>94</v>
      </c>
      <c r="P28" s="16">
        <v>60.78740157</v>
      </c>
      <c r="Q28" s="16">
        <v>6200.0</v>
      </c>
      <c r="R28" s="16">
        <v>2393200.0</v>
      </c>
      <c r="S28" s="15"/>
      <c r="T28" s="16">
        <v>0.0</v>
      </c>
      <c r="U28" s="18">
        <v>0.0</v>
      </c>
      <c r="V28" s="18">
        <v>2393200.0</v>
      </c>
      <c r="W28" s="18">
        <v>0.0</v>
      </c>
      <c r="X28" s="18">
        <v>2393200.0</v>
      </c>
      <c r="Y28" s="19">
        <v>0.0</v>
      </c>
      <c r="Z28" s="19">
        <v>273050.0</v>
      </c>
      <c r="AA28" s="19">
        <v>0.0</v>
      </c>
      <c r="AB28" s="20">
        <v>0.0</v>
      </c>
      <c r="AC28" s="20">
        <v>0.0</v>
      </c>
      <c r="AD28" s="20">
        <v>0.0</v>
      </c>
      <c r="AE28" s="20">
        <v>0.0</v>
      </c>
      <c r="AF28" s="19">
        <v>2120150.0</v>
      </c>
      <c r="AG28" s="19">
        <v>2120150.0</v>
      </c>
      <c r="AH28" s="15" t="s">
        <v>61</v>
      </c>
      <c r="AI28" s="15"/>
    </row>
    <row r="29" ht="13.5" customHeight="1">
      <c r="A29" s="15">
        <v>43.0</v>
      </c>
      <c r="B29" s="15" t="s">
        <v>101</v>
      </c>
      <c r="C29" s="15" t="s">
        <v>59</v>
      </c>
      <c r="D29" s="15" t="s">
        <v>52</v>
      </c>
      <c r="E29" s="15" t="s">
        <v>53</v>
      </c>
      <c r="F29" s="15">
        <v>19.0</v>
      </c>
      <c r="G29" s="15">
        <v>4.0</v>
      </c>
      <c r="H29" s="16">
        <v>3.6</v>
      </c>
      <c r="I29" s="16">
        <v>15.0</v>
      </c>
      <c r="J29" s="16">
        <v>4.16666666666667</v>
      </c>
      <c r="K29" s="16">
        <v>416.666666666667</v>
      </c>
      <c r="L29" s="17">
        <v>21.0</v>
      </c>
      <c r="M29" s="17">
        <v>45.0</v>
      </c>
      <c r="N29" s="15" t="s">
        <v>72</v>
      </c>
      <c r="O29" s="15" t="s">
        <v>75</v>
      </c>
      <c r="P29" s="16">
        <v>40.41666667</v>
      </c>
      <c r="Q29" s="16">
        <v>6000.0</v>
      </c>
      <c r="R29" s="16">
        <v>873000.0</v>
      </c>
      <c r="S29" s="16">
        <v>0.0</v>
      </c>
      <c r="T29" s="16">
        <v>0.0</v>
      </c>
      <c r="U29" s="18">
        <v>0.0</v>
      </c>
      <c r="V29" s="18">
        <v>873000.0</v>
      </c>
      <c r="W29" s="18">
        <v>0.0</v>
      </c>
      <c r="X29" s="18">
        <v>873000.0</v>
      </c>
      <c r="Y29" s="19">
        <v>0.0</v>
      </c>
      <c r="Z29" s="19">
        <v>151200.0</v>
      </c>
      <c r="AA29" s="19">
        <v>0.0</v>
      </c>
      <c r="AB29" s="20">
        <v>0.0</v>
      </c>
      <c r="AC29" s="20">
        <v>0.0</v>
      </c>
      <c r="AD29" s="20">
        <v>0.0</v>
      </c>
      <c r="AE29" s="20">
        <v>0.0</v>
      </c>
      <c r="AF29" s="19">
        <v>721800.0</v>
      </c>
      <c r="AG29" s="19">
        <v>721800.0</v>
      </c>
      <c r="AH29" s="15" t="s">
        <v>102</v>
      </c>
      <c r="AI29" s="15"/>
    </row>
    <row r="30" ht="13.5" customHeight="1">
      <c r="A30" s="15">
        <v>44.0</v>
      </c>
      <c r="B30" s="15" t="s">
        <v>101</v>
      </c>
      <c r="C30" s="15" t="s">
        <v>65</v>
      </c>
      <c r="D30" s="15" t="s">
        <v>52</v>
      </c>
      <c r="E30" s="15" t="s">
        <v>53</v>
      </c>
      <c r="F30" s="15">
        <v>19.0</v>
      </c>
      <c r="G30" s="15">
        <v>4.0</v>
      </c>
      <c r="H30" s="16">
        <v>10.0</v>
      </c>
      <c r="I30" s="16">
        <v>29.0</v>
      </c>
      <c r="J30" s="16">
        <v>2.9</v>
      </c>
      <c r="K30" s="16">
        <v>290.0</v>
      </c>
      <c r="L30" s="17">
        <v>21.0</v>
      </c>
      <c r="M30" s="17">
        <v>45.0</v>
      </c>
      <c r="N30" s="15" t="s">
        <v>80</v>
      </c>
      <c r="O30" s="15" t="s">
        <v>94</v>
      </c>
      <c r="P30" s="16">
        <v>38.65</v>
      </c>
      <c r="Q30" s="16">
        <v>6000.0</v>
      </c>
      <c r="R30" s="16">
        <v>2319000.0</v>
      </c>
      <c r="S30" s="16">
        <v>0.0</v>
      </c>
      <c r="T30" s="16">
        <v>0.0</v>
      </c>
      <c r="U30" s="18">
        <v>0.0</v>
      </c>
      <c r="V30" s="18">
        <v>2319000.0</v>
      </c>
      <c r="W30" s="18">
        <v>0.0</v>
      </c>
      <c r="X30" s="18">
        <v>2319000.0</v>
      </c>
      <c r="Y30" s="19">
        <v>0.0</v>
      </c>
      <c r="Z30" s="19">
        <v>279100.0</v>
      </c>
      <c r="AA30" s="19">
        <v>0.0</v>
      </c>
      <c r="AB30" s="20">
        <v>0.0</v>
      </c>
      <c r="AC30" s="20">
        <v>0.0</v>
      </c>
      <c r="AD30" s="20">
        <v>0.0</v>
      </c>
      <c r="AE30" s="20">
        <v>0.0</v>
      </c>
      <c r="AF30" s="19">
        <v>2039900.0</v>
      </c>
      <c r="AG30" s="19">
        <v>2039900.0</v>
      </c>
      <c r="AH30" s="15"/>
      <c r="AI30" s="15" t="s">
        <v>103</v>
      </c>
    </row>
    <row r="31" ht="13.5" customHeight="1">
      <c r="A31" s="15">
        <v>46.0</v>
      </c>
      <c r="B31" s="15" t="s">
        <v>104</v>
      </c>
      <c r="C31" s="15" t="s">
        <v>105</v>
      </c>
      <c r="D31" s="15" t="s">
        <v>106</v>
      </c>
      <c r="E31" s="15" t="s">
        <v>107</v>
      </c>
      <c r="F31" s="15">
        <v>42.0</v>
      </c>
      <c r="G31" s="15">
        <v>2.0</v>
      </c>
      <c r="H31" s="16">
        <v>4.5</v>
      </c>
      <c r="I31" s="16">
        <v>9.0</v>
      </c>
      <c r="J31" s="16">
        <v>2.0</v>
      </c>
      <c r="K31" s="16">
        <v>200.0</v>
      </c>
      <c r="L31" s="17">
        <v>21.0</v>
      </c>
      <c r="M31" s="17">
        <v>45.0</v>
      </c>
      <c r="N31" s="15" t="s">
        <v>72</v>
      </c>
      <c r="O31" s="15" t="s">
        <v>75</v>
      </c>
      <c r="P31" s="16">
        <v>62.88888889</v>
      </c>
      <c r="Q31" s="16">
        <v>6000.0</v>
      </c>
      <c r="R31" s="16">
        <v>1698000.0</v>
      </c>
      <c r="S31" s="16">
        <v>25000.0</v>
      </c>
      <c r="T31" s="16">
        <v>35000.0</v>
      </c>
      <c r="U31" s="18">
        <v>350000.0</v>
      </c>
      <c r="V31" s="18">
        <v>2048000.0</v>
      </c>
      <c r="W31" s="18">
        <v>260000.0</v>
      </c>
      <c r="X31" s="18">
        <v>1788000.0</v>
      </c>
      <c r="Y31" s="19">
        <v>0.0</v>
      </c>
      <c r="Z31" s="19">
        <v>252100.0</v>
      </c>
      <c r="AA31" s="19">
        <v>100000.0</v>
      </c>
      <c r="AB31" s="20">
        <v>349920.0</v>
      </c>
      <c r="AC31" s="20">
        <v>0.0</v>
      </c>
      <c r="AD31" s="20">
        <v>0.0</v>
      </c>
      <c r="AE31" s="20">
        <v>58333.33333</v>
      </c>
      <c r="AF31" s="19">
        <v>1076646.667</v>
      </c>
      <c r="AG31" s="19">
        <v>1134980.0</v>
      </c>
      <c r="AH31" s="15"/>
      <c r="AI31" s="15" t="s">
        <v>108</v>
      </c>
    </row>
    <row r="32" ht="13.5" customHeight="1">
      <c r="A32" s="15">
        <v>47.0</v>
      </c>
      <c r="B32" s="15" t="s">
        <v>104</v>
      </c>
      <c r="C32" s="15" t="s">
        <v>109</v>
      </c>
      <c r="D32" s="15" t="s">
        <v>106</v>
      </c>
      <c r="E32" s="15" t="s">
        <v>107</v>
      </c>
      <c r="F32" s="15">
        <v>42.0</v>
      </c>
      <c r="G32" s="15">
        <v>2.0</v>
      </c>
      <c r="H32" s="16">
        <v>3.0</v>
      </c>
      <c r="I32" s="16">
        <v>6.0</v>
      </c>
      <c r="J32" s="16">
        <v>2.0</v>
      </c>
      <c r="K32" s="16">
        <v>200.0</v>
      </c>
      <c r="L32" s="17">
        <v>21.0</v>
      </c>
      <c r="M32" s="17">
        <v>45.0</v>
      </c>
      <c r="N32" s="15" t="s">
        <v>72</v>
      </c>
      <c r="O32" s="15" t="s">
        <v>75</v>
      </c>
      <c r="P32" s="16">
        <v>13.5</v>
      </c>
      <c r="Q32" s="16">
        <v>6000.0</v>
      </c>
      <c r="R32" s="16">
        <v>243000.0</v>
      </c>
      <c r="S32" s="16">
        <v>25000.0</v>
      </c>
      <c r="T32" s="16">
        <v>17500.0</v>
      </c>
      <c r="U32" s="18">
        <v>0.0</v>
      </c>
      <c r="V32" s="18">
        <v>243000.0</v>
      </c>
      <c r="W32" s="18">
        <v>167500.0</v>
      </c>
      <c r="X32" s="18">
        <v>75500.0</v>
      </c>
      <c r="Y32" s="19">
        <v>0.0</v>
      </c>
      <c r="Z32" s="19">
        <v>198400.0</v>
      </c>
      <c r="AA32" s="19">
        <v>0.0</v>
      </c>
      <c r="AB32" s="20">
        <v>249960.0</v>
      </c>
      <c r="AC32" s="20">
        <v>0.0</v>
      </c>
      <c r="AD32" s="20">
        <v>0.0</v>
      </c>
      <c r="AE32" s="20">
        <v>58333.33333</v>
      </c>
      <c r="AF32" s="19">
        <v>-431193.3333</v>
      </c>
      <c r="AG32" s="19">
        <v>-372860.0</v>
      </c>
      <c r="AH32" s="15"/>
      <c r="AI32" s="15"/>
    </row>
    <row r="33" ht="13.5" customHeight="1">
      <c r="A33" s="15">
        <v>49.0</v>
      </c>
      <c r="B33" s="15" t="s">
        <v>104</v>
      </c>
      <c r="C33" s="15" t="s">
        <v>110</v>
      </c>
      <c r="D33" s="15" t="s">
        <v>106</v>
      </c>
      <c r="E33" s="15" t="s">
        <v>107</v>
      </c>
      <c r="F33" s="15">
        <v>42.0</v>
      </c>
      <c r="G33" s="15">
        <v>2.0</v>
      </c>
      <c r="H33" s="16">
        <v>3.55</v>
      </c>
      <c r="I33" s="16">
        <v>7.0</v>
      </c>
      <c r="J33" s="16">
        <v>1.97183098591549</v>
      </c>
      <c r="K33" s="16">
        <v>197.183098591549</v>
      </c>
      <c r="L33" s="17">
        <v>21.0</v>
      </c>
      <c r="M33" s="17">
        <v>45.0</v>
      </c>
      <c r="N33" s="15" t="s">
        <v>72</v>
      </c>
      <c r="O33" s="15" t="s">
        <v>75</v>
      </c>
      <c r="P33" s="16">
        <v>38.02816901</v>
      </c>
      <c r="Q33" s="16">
        <v>6000.0</v>
      </c>
      <c r="R33" s="16">
        <v>810000.0</v>
      </c>
      <c r="S33" s="16">
        <v>25000.0</v>
      </c>
      <c r="T33" s="16">
        <v>12000.0</v>
      </c>
      <c r="U33" s="18">
        <v>0.0</v>
      </c>
      <c r="V33" s="18">
        <v>810000.0</v>
      </c>
      <c r="W33" s="18">
        <v>187000.0</v>
      </c>
      <c r="X33" s="18">
        <v>623000.0</v>
      </c>
      <c r="Y33" s="19">
        <v>0.0</v>
      </c>
      <c r="Z33" s="19">
        <v>149990.0</v>
      </c>
      <c r="AA33" s="19">
        <v>0.0</v>
      </c>
      <c r="AB33" s="20">
        <v>250062.0</v>
      </c>
      <c r="AC33" s="20">
        <v>0.0</v>
      </c>
      <c r="AD33" s="20">
        <v>0.0</v>
      </c>
      <c r="AE33" s="20">
        <v>58333.33333</v>
      </c>
      <c r="AF33" s="19">
        <v>164614.6667</v>
      </c>
      <c r="AG33" s="19">
        <v>222948.0</v>
      </c>
      <c r="AH33" s="15"/>
      <c r="AI33" s="15"/>
    </row>
    <row r="34" ht="13.5" customHeight="1">
      <c r="A34" s="15">
        <v>51.0</v>
      </c>
      <c r="B34" s="15" t="s">
        <v>111</v>
      </c>
      <c r="C34" s="15" t="s">
        <v>57</v>
      </c>
      <c r="D34" s="15" t="s">
        <v>52</v>
      </c>
      <c r="E34" s="15" t="s">
        <v>53</v>
      </c>
      <c r="F34" s="15">
        <v>44.0</v>
      </c>
      <c r="G34" s="15">
        <v>5.0</v>
      </c>
      <c r="H34" s="16">
        <v>4.81</v>
      </c>
      <c r="I34" s="16">
        <v>10.0</v>
      </c>
      <c r="J34" s="16">
        <v>2.07900207900208</v>
      </c>
      <c r="K34" s="16">
        <v>207.900207900208</v>
      </c>
      <c r="L34" s="17">
        <v>21.0</v>
      </c>
      <c r="M34" s="17">
        <v>45.0</v>
      </c>
      <c r="N34" s="15" t="s">
        <v>72</v>
      </c>
      <c r="O34" s="15" t="s">
        <v>75</v>
      </c>
      <c r="P34" s="16">
        <v>43.451143450000004</v>
      </c>
      <c r="Q34" s="16">
        <v>6000.0</v>
      </c>
      <c r="R34" s="16">
        <v>1254000.0</v>
      </c>
      <c r="S34" s="16">
        <v>25000.0</v>
      </c>
      <c r="T34" s="16">
        <v>0.0</v>
      </c>
      <c r="U34" s="18">
        <v>400000.0</v>
      </c>
      <c r="V34" s="18">
        <v>1654000.0</v>
      </c>
      <c r="W34" s="18">
        <v>250000.0</v>
      </c>
      <c r="X34" s="18">
        <v>1404000.0</v>
      </c>
      <c r="Y34" s="19">
        <v>0.0</v>
      </c>
      <c r="Z34" s="19">
        <v>162578.0</v>
      </c>
      <c r="AA34" s="19">
        <v>0.0</v>
      </c>
      <c r="AB34" s="20">
        <v>500004.0</v>
      </c>
      <c r="AC34" s="20">
        <v>0.0</v>
      </c>
      <c r="AD34" s="20">
        <v>0.0</v>
      </c>
      <c r="AE34" s="20">
        <v>58333.33333</v>
      </c>
      <c r="AF34" s="19">
        <v>683084.6667</v>
      </c>
      <c r="AG34" s="19">
        <v>741418.0</v>
      </c>
      <c r="AH34" s="15"/>
      <c r="AI34" s="15" t="s">
        <v>112</v>
      </c>
    </row>
    <row r="35" ht="13.5" customHeight="1">
      <c r="A35" s="15">
        <v>53.0</v>
      </c>
      <c r="B35" s="15" t="s">
        <v>113</v>
      </c>
      <c r="C35" s="15" t="s">
        <v>114</v>
      </c>
      <c r="D35" s="15" t="s">
        <v>52</v>
      </c>
      <c r="E35" s="15" t="s">
        <v>53</v>
      </c>
      <c r="F35" s="15">
        <v>45.0</v>
      </c>
      <c r="G35" s="15">
        <v>4.0</v>
      </c>
      <c r="H35" s="16">
        <v>4.8</v>
      </c>
      <c r="I35" s="16">
        <v>10.0</v>
      </c>
      <c r="J35" s="16">
        <v>2.08333333333333</v>
      </c>
      <c r="K35" s="16">
        <v>208.333333333333</v>
      </c>
      <c r="L35" s="17">
        <v>21.0</v>
      </c>
      <c r="M35" s="17">
        <v>45.0</v>
      </c>
      <c r="N35" s="15" t="s">
        <v>72</v>
      </c>
      <c r="O35" s="15" t="s">
        <v>75</v>
      </c>
      <c r="P35" s="16">
        <v>40.10416667</v>
      </c>
      <c r="Q35" s="16">
        <v>6000.0</v>
      </c>
      <c r="R35" s="16">
        <v>1155000.0</v>
      </c>
      <c r="S35" s="16">
        <v>25000.0</v>
      </c>
      <c r="T35" s="16">
        <v>0.0</v>
      </c>
      <c r="U35" s="18">
        <v>400000.0</v>
      </c>
      <c r="V35" s="18">
        <v>1555000.0</v>
      </c>
      <c r="W35" s="18">
        <v>250000.0</v>
      </c>
      <c r="X35" s="18">
        <v>1305000.0</v>
      </c>
      <c r="Y35" s="19">
        <v>0.0</v>
      </c>
      <c r="Z35" s="19">
        <v>162240.0</v>
      </c>
      <c r="AA35" s="19">
        <v>0.0</v>
      </c>
      <c r="AB35" s="20">
        <v>562520.0</v>
      </c>
      <c r="AC35" s="20">
        <v>0.0</v>
      </c>
      <c r="AD35" s="20">
        <v>0.0</v>
      </c>
      <c r="AE35" s="20">
        <v>58333.33333</v>
      </c>
      <c r="AF35" s="19">
        <v>521906.6667</v>
      </c>
      <c r="AG35" s="19">
        <v>580240.0</v>
      </c>
      <c r="AH35" s="15"/>
      <c r="AI35" s="15" t="s">
        <v>115</v>
      </c>
    </row>
    <row r="36" ht="13.5" customHeight="1">
      <c r="A36" s="15">
        <v>55.0</v>
      </c>
      <c r="B36" s="15" t="s">
        <v>116</v>
      </c>
      <c r="C36" s="15" t="s">
        <v>117</v>
      </c>
      <c r="D36" s="15" t="s">
        <v>52</v>
      </c>
      <c r="E36" s="15" t="s">
        <v>53</v>
      </c>
      <c r="F36" s="15">
        <v>46.0</v>
      </c>
      <c r="G36" s="15"/>
      <c r="H36" s="16">
        <v>3.45</v>
      </c>
      <c r="I36" s="16">
        <v>7.0</v>
      </c>
      <c r="J36" s="16">
        <v>2.02898550724638</v>
      </c>
      <c r="K36" s="16">
        <v>202.898550724638</v>
      </c>
      <c r="L36" s="17">
        <v>21.0</v>
      </c>
      <c r="M36" s="17">
        <v>45.0</v>
      </c>
      <c r="N36" s="15" t="s">
        <v>72</v>
      </c>
      <c r="O36" s="15" t="s">
        <v>75</v>
      </c>
      <c r="P36" s="16">
        <v>7.536231884</v>
      </c>
      <c r="Q36" s="16">
        <v>6000.0</v>
      </c>
      <c r="R36" s="16">
        <v>156000.0</v>
      </c>
      <c r="S36" s="16">
        <v>25000.0</v>
      </c>
      <c r="T36" s="16">
        <v>0.0</v>
      </c>
      <c r="U36" s="18">
        <v>280000.0</v>
      </c>
      <c r="V36" s="18">
        <v>436000.0</v>
      </c>
      <c r="W36" s="18">
        <v>175000.0</v>
      </c>
      <c r="X36" s="18">
        <v>261000.0</v>
      </c>
      <c r="Y36" s="19">
        <v>0.0</v>
      </c>
      <c r="Z36" s="19">
        <v>189060.0</v>
      </c>
      <c r="AA36" s="19">
        <v>0.0</v>
      </c>
      <c r="AB36" s="20">
        <v>365000.0</v>
      </c>
      <c r="AC36" s="20">
        <v>0.0</v>
      </c>
      <c r="AD36" s="20">
        <v>0.0</v>
      </c>
      <c r="AE36" s="20">
        <v>58333.33333</v>
      </c>
      <c r="AF36" s="19">
        <v>-355393.3333</v>
      </c>
      <c r="AG36" s="19">
        <v>-297060.0</v>
      </c>
      <c r="AH36" s="15"/>
      <c r="AI36" s="15" t="s">
        <v>115</v>
      </c>
    </row>
    <row r="37" ht="13.5" customHeight="1">
      <c r="A37" s="15">
        <v>60.0</v>
      </c>
      <c r="B37" s="15" t="s">
        <v>118</v>
      </c>
      <c r="C37" s="15" t="s">
        <v>119</v>
      </c>
      <c r="D37" s="15" t="s">
        <v>120</v>
      </c>
      <c r="E37" s="15" t="s">
        <v>120</v>
      </c>
      <c r="F37" s="15">
        <v>48.0</v>
      </c>
      <c r="G37" s="15">
        <v>3.0</v>
      </c>
      <c r="H37" s="16">
        <v>4.44</v>
      </c>
      <c r="I37" s="16">
        <v>9.0</v>
      </c>
      <c r="J37" s="16">
        <v>2.02702702702703</v>
      </c>
      <c r="K37" s="16">
        <v>202.702702702703</v>
      </c>
      <c r="L37" s="17">
        <v>21.0</v>
      </c>
      <c r="M37" s="17">
        <v>45.0</v>
      </c>
      <c r="N37" s="15" t="s">
        <v>72</v>
      </c>
      <c r="O37" s="15" t="s">
        <v>75</v>
      </c>
      <c r="P37" s="16">
        <v>40.2027027</v>
      </c>
      <c r="Q37" s="16">
        <v>6000.0</v>
      </c>
      <c r="R37" s="16">
        <v>1071000.0</v>
      </c>
      <c r="S37" s="16">
        <v>25000.0</v>
      </c>
      <c r="T37" s="16">
        <v>0.0</v>
      </c>
      <c r="U37" s="18">
        <v>245000.0</v>
      </c>
      <c r="V37" s="18">
        <v>1316000.0</v>
      </c>
      <c r="W37" s="18">
        <v>225000.0</v>
      </c>
      <c r="X37" s="18">
        <v>1091000.0</v>
      </c>
      <c r="Y37" s="19">
        <v>0.0</v>
      </c>
      <c r="Z37" s="19">
        <v>293272.0</v>
      </c>
      <c r="AA37" s="19">
        <v>0.0</v>
      </c>
      <c r="AB37" s="20">
        <v>399955.2</v>
      </c>
      <c r="AC37" s="20">
        <v>0.0</v>
      </c>
      <c r="AD37" s="20">
        <v>0.0</v>
      </c>
      <c r="AE37" s="20">
        <v>104166.6667</v>
      </c>
      <c r="AF37" s="19">
        <v>285606.1333</v>
      </c>
      <c r="AG37" s="19">
        <v>389772.8</v>
      </c>
      <c r="AH37" s="15"/>
      <c r="AI37" s="15"/>
    </row>
    <row r="38" ht="13.5" customHeight="1">
      <c r="A38" s="15">
        <v>61.0</v>
      </c>
      <c r="B38" s="15" t="s">
        <v>118</v>
      </c>
      <c r="C38" s="15" t="s">
        <v>121</v>
      </c>
      <c r="D38" s="15" t="s">
        <v>120</v>
      </c>
      <c r="E38" s="15" t="s">
        <v>120</v>
      </c>
      <c r="F38" s="15">
        <v>48.0</v>
      </c>
      <c r="G38" s="15">
        <v>3.0</v>
      </c>
      <c r="H38" s="16">
        <v>4.43</v>
      </c>
      <c r="I38" s="16">
        <v>9.0</v>
      </c>
      <c r="J38" s="16">
        <v>2.03160270880361</v>
      </c>
      <c r="K38" s="16">
        <v>203.160270880361</v>
      </c>
      <c r="L38" s="17">
        <v>21.0</v>
      </c>
      <c r="M38" s="17">
        <v>45.0</v>
      </c>
      <c r="N38" s="15" t="s">
        <v>72</v>
      </c>
      <c r="O38" s="15" t="s">
        <v>75</v>
      </c>
      <c r="P38" s="16">
        <v>33.74717833</v>
      </c>
      <c r="Q38" s="16">
        <v>6000.0</v>
      </c>
      <c r="R38" s="16">
        <v>897000.0</v>
      </c>
      <c r="S38" s="16">
        <v>25000.0</v>
      </c>
      <c r="T38" s="16">
        <v>0.0</v>
      </c>
      <c r="U38" s="18">
        <v>280000.0</v>
      </c>
      <c r="V38" s="18">
        <v>1177000.0</v>
      </c>
      <c r="W38" s="18">
        <v>225000.0</v>
      </c>
      <c r="X38" s="18">
        <v>952000.0</v>
      </c>
      <c r="Y38" s="19">
        <v>0.0</v>
      </c>
      <c r="Z38" s="19">
        <v>301494.0</v>
      </c>
      <c r="AA38" s="19">
        <v>0.0</v>
      </c>
      <c r="AB38" s="20">
        <v>450088.0</v>
      </c>
      <c r="AC38" s="20">
        <v>0.0</v>
      </c>
      <c r="AD38" s="20">
        <v>0.0</v>
      </c>
      <c r="AE38" s="20">
        <v>58333.33333</v>
      </c>
      <c r="AF38" s="19">
        <v>142084.6667</v>
      </c>
      <c r="AG38" s="19">
        <v>200418.0</v>
      </c>
      <c r="AH38" s="15"/>
      <c r="AI38" s="15"/>
    </row>
    <row r="39" ht="13.5" customHeight="1">
      <c r="A39" s="15">
        <v>62.0</v>
      </c>
      <c r="B39" s="15" t="s">
        <v>118</v>
      </c>
      <c r="C39" s="15" t="s">
        <v>122</v>
      </c>
      <c r="D39" s="15" t="s">
        <v>120</v>
      </c>
      <c r="E39" s="15" t="s">
        <v>120</v>
      </c>
      <c r="F39" s="15">
        <v>48.0</v>
      </c>
      <c r="G39" s="15">
        <v>3.0</v>
      </c>
      <c r="H39" s="16">
        <v>3.77</v>
      </c>
      <c r="I39" s="16">
        <v>8.0</v>
      </c>
      <c r="J39" s="16">
        <v>2.12201591511936</v>
      </c>
      <c r="K39" s="16">
        <v>212.201591511936</v>
      </c>
      <c r="L39" s="17">
        <v>21.0</v>
      </c>
      <c r="M39" s="17">
        <v>45.0</v>
      </c>
      <c r="N39" s="15" t="s">
        <v>72</v>
      </c>
      <c r="O39" s="15" t="s">
        <v>75</v>
      </c>
      <c r="P39" s="16">
        <v>36.47214854</v>
      </c>
      <c r="Q39" s="16">
        <v>6000.0</v>
      </c>
      <c r="R39" s="16">
        <v>825000.0</v>
      </c>
      <c r="S39" s="16">
        <v>25000.0</v>
      </c>
      <c r="T39" s="16">
        <v>0.0</v>
      </c>
      <c r="U39" s="18">
        <v>240000.0</v>
      </c>
      <c r="V39" s="18">
        <v>1065000.0</v>
      </c>
      <c r="W39" s="18">
        <v>200000.0</v>
      </c>
      <c r="X39" s="18">
        <v>865000.0</v>
      </c>
      <c r="Y39" s="19">
        <v>0.0</v>
      </c>
      <c r="Z39" s="19">
        <v>250526.0</v>
      </c>
      <c r="AA39" s="19">
        <v>0.0</v>
      </c>
      <c r="AB39" s="20">
        <v>349938.38</v>
      </c>
      <c r="AC39" s="20">
        <v>0.0</v>
      </c>
      <c r="AD39" s="20">
        <v>0.0</v>
      </c>
      <c r="AE39" s="20">
        <v>58333.33333</v>
      </c>
      <c r="AF39" s="19">
        <v>200202.2867</v>
      </c>
      <c r="AG39" s="19">
        <v>258535.62</v>
      </c>
      <c r="AH39" s="15"/>
      <c r="AI39" s="15"/>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row>
    <row r="41" ht="1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ht="1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row>
    <row r="43" ht="1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row>
    <row r="44" ht="1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row>
    <row r="45" ht="1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ht="1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ht="1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row>
    <row r="48" ht="1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row>
    <row r="49" ht="1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row>
    <row r="50" ht="1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row>
    <row r="53" ht="1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row>
    <row r="54" ht="1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row>
    <row r="55" ht="1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row>
    <row r="56" ht="1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row>
    <row r="57" ht="1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row>
    <row r="58" ht="1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row>
    <row r="59" ht="1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row>
    <row r="60" ht="1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row>
    <row r="61" ht="1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row>
    <row r="62" ht="1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row>
    <row r="63" ht="1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row>
    <row r="64" ht="1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row>
    <row r="65" ht="1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row>
    <row r="66" ht="1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row>
    <row r="67" ht="1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row>
    <row r="68" ht="1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row>
    <row r="69" ht="1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row>
    <row r="70" ht="1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row>
    <row r="71" ht="1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row>
    <row r="72" ht="1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row>
    <row r="73" ht="1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row>
    <row r="74" ht="1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row>
    <row r="75" ht="1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row>
    <row r="76"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row>
    <row r="77"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row>
    <row r="78"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row>
    <row r="79"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row>
    <row r="80"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row>
    <row r="81"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row>
    <row r="82"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row>
    <row r="83"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row>
    <row r="84"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row>
    <row r="85"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row>
    <row r="8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row>
    <row r="87"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row>
    <row r="88"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row>
    <row r="89"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row>
    <row r="90"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row>
    <row r="91"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row>
    <row r="92"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row>
    <row r="93"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row>
    <row r="94"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row>
    <row r="95"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row>
    <row r="96"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row>
    <row r="97"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row>
    <row r="98"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row>
    <row r="99"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row>
    <row r="100"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row>
    <row r="101"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row>
    <row r="102"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row>
    <row r="103"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row>
    <row r="104"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row>
    <row r="105"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row>
    <row r="10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row>
    <row r="107"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row>
    <row r="108"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row>
    <row r="109"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row>
    <row r="110"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row>
    <row r="111"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row>
    <row r="112"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row>
    <row r="113"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row>
    <row r="114"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row>
    <row r="115"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row>
    <row r="11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row>
    <row r="117"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row>
    <row r="118"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row>
    <row r="119"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row>
    <row r="120"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row>
    <row r="121"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row>
    <row r="122"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row>
    <row r="123"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row>
    <row r="124"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row>
    <row r="125"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row>
    <row r="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row>
    <row r="127"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row>
    <row r="128"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row>
    <row r="129"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row>
    <row r="130"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row>
    <row r="131"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row>
    <row r="132"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row>
    <row r="133"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row>
    <row r="134"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row>
    <row r="135"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row>
    <row r="13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row>
    <row r="137"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row>
    <row r="138"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row>
    <row r="139"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row>
    <row r="140"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row>
    <row r="141"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row>
    <row r="142"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row>
    <row r="143"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row>
    <row r="144"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row>
    <row r="145"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row>
    <row r="14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row>
    <row r="148"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row>
    <row r="150"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row>
    <row r="151"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row>
    <row r="152"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row>
    <row r="153"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row>
    <row r="154"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row>
    <row r="155"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row>
    <row r="15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row>
    <row r="157"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row>
    <row r="158"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row>
    <row r="159"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row>
    <row r="160"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row>
    <row r="161"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row>
    <row r="162"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row>
    <row r="163"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row>
    <row r="164"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row>
    <row r="165"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row>
    <row r="16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row>
    <row r="167"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row>
    <row r="168"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row>
    <row r="169"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row>
    <row r="170"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row>
    <row r="171"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ht="1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ht="1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ht="1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ht="1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ht="1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ht="1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ht="1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ht="1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ht="1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ht="1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ht="1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ht="1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5.25"/>
    <col customWidth="1" min="2" max="2" width="55.0"/>
    <col customWidth="1" min="3" max="4" width="22.0"/>
    <col customWidth="1" min="5" max="6" width="20.0"/>
    <col customWidth="1" min="7" max="7" width="18.0"/>
    <col customWidth="1" min="8" max="8" width="14.0"/>
    <col customWidth="1" min="9" max="10" width="16.0"/>
    <col customWidth="1" min="11" max="11" width="17.5"/>
    <col customWidth="1" min="12" max="12" width="19.13"/>
    <col customWidth="1" min="13" max="13" width="19.25"/>
    <col customWidth="1" min="14" max="14" width="19.88"/>
    <col customWidth="1" min="15" max="15" width="22.0"/>
    <col customWidth="1" min="16" max="17" width="19.0"/>
    <col customWidth="1" min="18" max="18" width="17.5"/>
    <col customWidth="1" min="19" max="19" width="17.0"/>
    <col customWidth="1" min="20" max="20" width="16.75"/>
    <col customWidth="1" min="21" max="21" width="17.13"/>
    <col customWidth="1" min="22" max="22" width="22.5"/>
    <col customWidth="1" min="23" max="23" width="17.0"/>
    <col customWidth="1" min="24" max="24" width="20.63"/>
    <col customWidth="1" min="25" max="25" width="22.75"/>
    <col customWidth="1" min="26" max="28" width="17.0"/>
    <col customWidth="1" min="29" max="29" width="19.38"/>
    <col customWidth="1" min="30" max="31" width="17.0"/>
    <col customWidth="1" min="32" max="32" width="18.0"/>
    <col customWidth="1" min="33" max="33" width="17.0"/>
    <col customWidth="1" min="34" max="34" width="21.88"/>
    <col customWidth="1" min="35" max="35" width="17.0"/>
  </cols>
  <sheetData>
    <row r="1" ht="21.0" customHeight="1">
      <c r="A1" s="11" t="s">
        <v>123</v>
      </c>
      <c r="G1" s="22"/>
    </row>
    <row r="2" ht="13.5" customHeight="1">
      <c r="G2" s="22"/>
    </row>
    <row r="3" ht="13.5" customHeight="1">
      <c r="A3" s="13" t="s">
        <v>124</v>
      </c>
      <c r="B3" s="13" t="s">
        <v>125</v>
      </c>
      <c r="C3" s="13" t="s">
        <v>126</v>
      </c>
      <c r="D3" s="13" t="s">
        <v>127</v>
      </c>
      <c r="E3" s="13" t="s">
        <v>128</v>
      </c>
      <c r="F3" s="13" t="s">
        <v>129</v>
      </c>
      <c r="G3" s="23" t="s">
        <v>130</v>
      </c>
      <c r="H3" s="13" t="s">
        <v>131</v>
      </c>
      <c r="I3" s="13" t="s">
        <v>132</v>
      </c>
      <c r="J3" s="13" t="s">
        <v>133</v>
      </c>
      <c r="K3" s="13" t="s">
        <v>134</v>
      </c>
      <c r="L3" s="13" t="s">
        <v>135</v>
      </c>
      <c r="M3" s="13" t="s">
        <v>136</v>
      </c>
      <c r="N3" s="13" t="s">
        <v>137</v>
      </c>
      <c r="O3" s="13" t="s">
        <v>138</v>
      </c>
      <c r="P3" s="13" t="s">
        <v>139</v>
      </c>
      <c r="Q3" s="13" t="s">
        <v>140</v>
      </c>
      <c r="R3" s="13" t="s">
        <v>141</v>
      </c>
      <c r="S3" s="13" t="s">
        <v>142</v>
      </c>
      <c r="T3" s="13" t="s">
        <v>143</v>
      </c>
      <c r="U3" s="13" t="s">
        <v>144</v>
      </c>
      <c r="V3" s="13" t="s">
        <v>145</v>
      </c>
      <c r="W3" s="13" t="s">
        <v>146</v>
      </c>
      <c r="X3" s="24" t="s">
        <v>147</v>
      </c>
      <c r="Y3" s="14" t="s">
        <v>148</v>
      </c>
      <c r="Z3" s="14" t="s">
        <v>149</v>
      </c>
      <c r="AA3" s="14" t="s">
        <v>150</v>
      </c>
      <c r="AB3" s="14" t="s">
        <v>151</v>
      </c>
      <c r="AC3" s="14" t="s">
        <v>152</v>
      </c>
      <c r="AD3" s="14" t="s">
        <v>153</v>
      </c>
      <c r="AE3" s="14" t="s">
        <v>154</v>
      </c>
      <c r="AF3" s="14" t="s">
        <v>155</v>
      </c>
      <c r="AG3" s="14" t="s">
        <v>156</v>
      </c>
      <c r="AH3" s="13" t="s">
        <v>157</v>
      </c>
      <c r="AI3" s="13" t="s">
        <v>158</v>
      </c>
    </row>
    <row r="4" ht="13.5" customHeight="1">
      <c r="A4" s="25">
        <v>1.0</v>
      </c>
      <c r="B4" s="26" t="s">
        <v>159</v>
      </c>
      <c r="C4" s="27">
        <v>6.6</v>
      </c>
      <c r="D4" s="27">
        <v>30.0</v>
      </c>
      <c r="E4" s="27">
        <f t="shared" ref="E4:E39" si="1">D4/C4</f>
        <v>4.545454545</v>
      </c>
      <c r="F4" s="27">
        <f t="shared" ref="F4:F39" si="2">E4*100</f>
        <v>454.5454545</v>
      </c>
      <c r="G4" s="28">
        <v>21.0</v>
      </c>
      <c r="H4" s="26" t="s">
        <v>72</v>
      </c>
      <c r="I4" s="26" t="s">
        <v>160</v>
      </c>
      <c r="J4" s="26" t="s">
        <v>161</v>
      </c>
      <c r="K4" s="27">
        <f t="shared" ref="K4:K39" si="3">U4/D4</f>
        <v>25000</v>
      </c>
      <c r="L4" s="26" t="s">
        <v>162</v>
      </c>
      <c r="M4" s="26" t="s">
        <v>163</v>
      </c>
      <c r="N4" s="26" t="s">
        <v>164</v>
      </c>
      <c r="O4" s="27">
        <v>17.0</v>
      </c>
      <c r="P4" s="27">
        <v>45.84</v>
      </c>
      <c r="Q4" s="27">
        <v>302.6</v>
      </c>
      <c r="R4" s="27">
        <v>1815441.85</v>
      </c>
      <c r="S4" s="27">
        <v>595000.0</v>
      </c>
      <c r="T4" s="27">
        <f t="shared" ref="T4:T39" si="4">R4+S4</f>
        <v>2410441.85</v>
      </c>
      <c r="U4" s="27">
        <v>750000.0</v>
      </c>
      <c r="V4" s="27">
        <f>U4</f>
        <v>750000</v>
      </c>
      <c r="W4" s="27">
        <f t="shared" ref="W4:W39" si="5">T4-V4</f>
        <v>1660441.85</v>
      </c>
      <c r="X4" s="29">
        <v>706363.64</v>
      </c>
      <c r="Y4" s="29">
        <v>49089.97</v>
      </c>
      <c r="Z4" s="29">
        <v>5114.92</v>
      </c>
      <c r="AA4" s="29">
        <v>63500.41</v>
      </c>
      <c r="AB4" s="29">
        <v>124995.0</v>
      </c>
      <c r="AC4" s="29">
        <f t="shared" ref="AC4:AC39" si="6">AA4+AB4</f>
        <v>188495.41</v>
      </c>
      <c r="AD4" s="29">
        <v>6639.98</v>
      </c>
      <c r="AE4" s="29">
        <v>121562.44</v>
      </c>
      <c r="AF4" s="29">
        <v>0.0</v>
      </c>
      <c r="AG4" s="29">
        <f t="shared" ref="AG4:AG39" si="7">AD4+AE4+AF4</f>
        <v>128202.42</v>
      </c>
      <c r="AH4" s="27">
        <v>66465.6</v>
      </c>
      <c r="AI4" s="27">
        <f t="shared" ref="AI4:AI39" si="8">W4+AH4</f>
        <v>1726907.45</v>
      </c>
    </row>
    <row r="5" ht="13.5" customHeight="1">
      <c r="A5" s="30">
        <v>2.0</v>
      </c>
      <c r="B5" s="31" t="s">
        <v>165</v>
      </c>
      <c r="C5" s="32">
        <v>10.5</v>
      </c>
      <c r="D5" s="32">
        <v>28.0</v>
      </c>
      <c r="E5" s="32">
        <f t="shared" si="1"/>
        <v>2.666666667</v>
      </c>
      <c r="F5" s="32">
        <f t="shared" si="2"/>
        <v>266.6666667</v>
      </c>
      <c r="G5" s="33">
        <v>21.0</v>
      </c>
      <c r="H5" s="31" t="s">
        <v>72</v>
      </c>
      <c r="I5" s="31" t="s">
        <v>160</v>
      </c>
      <c r="J5" s="31" t="s">
        <v>161</v>
      </c>
      <c r="K5" s="32">
        <f t="shared" si="3"/>
        <v>25000</v>
      </c>
      <c r="L5" s="31" t="s">
        <v>162</v>
      </c>
      <c r="M5" s="31" t="s">
        <v>163</v>
      </c>
      <c r="N5" s="31" t="s">
        <v>164</v>
      </c>
      <c r="O5" s="32">
        <v>17.0</v>
      </c>
      <c r="P5" s="32">
        <v>47.46</v>
      </c>
      <c r="Q5" s="32">
        <v>498.4</v>
      </c>
      <c r="R5" s="32">
        <v>2990139.52</v>
      </c>
      <c r="S5" s="32">
        <v>595000.0</v>
      </c>
      <c r="T5" s="32">
        <f t="shared" si="4"/>
        <v>3585139.52</v>
      </c>
      <c r="U5" s="32">
        <v>700000.0</v>
      </c>
      <c r="V5" s="32">
        <f t="shared" ref="V5:V39" si="9">U5+X5</f>
        <v>1302000</v>
      </c>
      <c r="W5" s="32">
        <f t="shared" si="5"/>
        <v>2283139.52</v>
      </c>
      <c r="X5" s="29">
        <v>602000.0</v>
      </c>
      <c r="Y5" s="29">
        <v>135824.53</v>
      </c>
      <c r="Z5" s="29">
        <v>11535.88</v>
      </c>
      <c r="AA5" s="29">
        <v>80093.85</v>
      </c>
      <c r="AB5" s="29">
        <v>116662.0</v>
      </c>
      <c r="AC5" s="29">
        <f t="shared" si="6"/>
        <v>196755.85</v>
      </c>
      <c r="AD5" s="29">
        <v>8299.61</v>
      </c>
      <c r="AE5" s="29">
        <v>202244.16</v>
      </c>
      <c r="AF5" s="29">
        <v>0.0</v>
      </c>
      <c r="AG5" s="29">
        <f t="shared" si="7"/>
        <v>210543.77</v>
      </c>
      <c r="AH5" s="32">
        <v>83419.53</v>
      </c>
      <c r="AI5" s="32">
        <f t="shared" si="8"/>
        <v>2366559.05</v>
      </c>
    </row>
    <row r="6" ht="13.5" customHeight="1">
      <c r="A6" s="25">
        <v>3.0</v>
      </c>
      <c r="B6" s="26" t="s">
        <v>166</v>
      </c>
      <c r="C6" s="27">
        <v>4.8</v>
      </c>
      <c r="D6" s="27">
        <v>10.0</v>
      </c>
      <c r="E6" s="27">
        <f t="shared" si="1"/>
        <v>2.083333333</v>
      </c>
      <c r="F6" s="27">
        <f t="shared" si="2"/>
        <v>208.3333333</v>
      </c>
      <c r="G6" s="28">
        <v>21.0</v>
      </c>
      <c r="H6" s="26" t="s">
        <v>72</v>
      </c>
      <c r="I6" s="26" t="s">
        <v>160</v>
      </c>
      <c r="J6" s="26" t="s">
        <v>161</v>
      </c>
      <c r="K6" s="27">
        <f t="shared" si="3"/>
        <v>25000</v>
      </c>
      <c r="L6" s="26" t="s">
        <v>162</v>
      </c>
      <c r="M6" s="26" t="s">
        <v>163</v>
      </c>
      <c r="N6" s="26" t="s">
        <v>164</v>
      </c>
      <c r="O6" s="27">
        <v>6.0</v>
      </c>
      <c r="P6" s="27">
        <v>47.46</v>
      </c>
      <c r="Q6" s="27">
        <v>227.8</v>
      </c>
      <c r="R6" s="27">
        <v>1366920.92</v>
      </c>
      <c r="S6" s="27">
        <v>210000.0</v>
      </c>
      <c r="T6" s="27">
        <f t="shared" si="4"/>
        <v>1576920.92</v>
      </c>
      <c r="U6" s="27">
        <v>250000.0</v>
      </c>
      <c r="V6" s="27">
        <f t="shared" si="9"/>
        <v>465000</v>
      </c>
      <c r="W6" s="27">
        <f t="shared" si="5"/>
        <v>1111920.92</v>
      </c>
      <c r="X6" s="29">
        <v>215000.0</v>
      </c>
      <c r="Y6" s="29">
        <v>74494.91</v>
      </c>
      <c r="Z6" s="29">
        <v>6003.78</v>
      </c>
      <c r="AA6" s="29">
        <v>54153.33</v>
      </c>
      <c r="AB6" s="29">
        <v>41665.0</v>
      </c>
      <c r="AC6" s="29">
        <f t="shared" si="6"/>
        <v>95818.33</v>
      </c>
      <c r="AD6" s="29">
        <v>3416.74</v>
      </c>
      <c r="AE6" s="29">
        <v>93929.49</v>
      </c>
      <c r="AF6" s="29">
        <v>0.0</v>
      </c>
      <c r="AG6" s="29">
        <f t="shared" si="7"/>
        <v>97346.23</v>
      </c>
      <c r="AH6" s="27">
        <v>32536.62</v>
      </c>
      <c r="AI6" s="27">
        <f t="shared" si="8"/>
        <v>1144457.54</v>
      </c>
    </row>
    <row r="7" ht="13.5" customHeight="1">
      <c r="A7" s="30">
        <v>4.0</v>
      </c>
      <c r="B7" s="31" t="s">
        <v>167</v>
      </c>
      <c r="C7" s="32">
        <v>4.5</v>
      </c>
      <c r="D7" s="32">
        <v>16.0</v>
      </c>
      <c r="E7" s="32">
        <f t="shared" si="1"/>
        <v>3.555555556</v>
      </c>
      <c r="F7" s="32">
        <f t="shared" si="2"/>
        <v>355.5555556</v>
      </c>
      <c r="G7" s="33">
        <v>21.0</v>
      </c>
      <c r="H7" s="31" t="s">
        <v>72</v>
      </c>
      <c r="I7" s="31" t="s">
        <v>160</v>
      </c>
      <c r="J7" s="31" t="s">
        <v>161</v>
      </c>
      <c r="K7" s="32">
        <f t="shared" si="3"/>
        <v>25000</v>
      </c>
      <c r="L7" s="31" t="s">
        <v>162</v>
      </c>
      <c r="M7" s="31" t="s">
        <v>163</v>
      </c>
      <c r="N7" s="31" t="s">
        <v>164</v>
      </c>
      <c r="O7" s="32">
        <v>9.0</v>
      </c>
      <c r="P7" s="32">
        <v>47.46</v>
      </c>
      <c r="Q7" s="32">
        <v>213.6</v>
      </c>
      <c r="R7" s="32">
        <v>1281488.36</v>
      </c>
      <c r="S7" s="32">
        <v>315000.0</v>
      </c>
      <c r="T7" s="32">
        <f t="shared" si="4"/>
        <v>1596488.36</v>
      </c>
      <c r="U7" s="32">
        <v>400000.0</v>
      </c>
      <c r="V7" s="32">
        <f t="shared" si="9"/>
        <v>744000</v>
      </c>
      <c r="W7" s="32">
        <f t="shared" si="5"/>
        <v>852488.36</v>
      </c>
      <c r="X7" s="29">
        <v>344000.0</v>
      </c>
      <c r="Y7" s="29">
        <v>44484.07</v>
      </c>
      <c r="Z7" s="29">
        <v>4135.84</v>
      </c>
      <c r="AA7" s="29">
        <v>52433.74</v>
      </c>
      <c r="AB7" s="29">
        <v>66664.0</v>
      </c>
      <c r="AC7" s="29">
        <f t="shared" si="6"/>
        <v>119097.74</v>
      </c>
      <c r="AD7" s="29">
        <v>4096.07</v>
      </c>
      <c r="AE7" s="29">
        <v>84568.89</v>
      </c>
      <c r="AF7" s="29">
        <v>0.0</v>
      </c>
      <c r="AG7" s="29">
        <f t="shared" si="7"/>
        <v>88664.96</v>
      </c>
      <c r="AH7" s="32">
        <v>41946.23</v>
      </c>
      <c r="AI7" s="32">
        <f t="shared" si="8"/>
        <v>894434.59</v>
      </c>
    </row>
    <row r="8" ht="13.5" customHeight="1">
      <c r="A8" s="25">
        <v>5.0</v>
      </c>
      <c r="B8" s="26" t="s">
        <v>168</v>
      </c>
      <c r="C8" s="27">
        <v>3.6</v>
      </c>
      <c r="D8" s="27">
        <v>13.0</v>
      </c>
      <c r="E8" s="27">
        <f t="shared" si="1"/>
        <v>3.611111111</v>
      </c>
      <c r="F8" s="27">
        <f t="shared" si="2"/>
        <v>361.1111111</v>
      </c>
      <c r="G8" s="28">
        <v>21.0</v>
      </c>
      <c r="H8" s="26" t="s">
        <v>72</v>
      </c>
      <c r="I8" s="26" t="s">
        <v>160</v>
      </c>
      <c r="J8" s="26" t="s">
        <v>161</v>
      </c>
      <c r="K8" s="27">
        <f t="shared" si="3"/>
        <v>25000</v>
      </c>
      <c r="L8" s="26" t="s">
        <v>162</v>
      </c>
      <c r="M8" s="26" t="s">
        <v>163</v>
      </c>
      <c r="N8" s="26" t="s">
        <v>164</v>
      </c>
      <c r="O8" s="27">
        <v>8.0</v>
      </c>
      <c r="P8" s="27">
        <v>47.46</v>
      </c>
      <c r="Q8" s="27">
        <v>170.9</v>
      </c>
      <c r="R8" s="27">
        <v>1025190.69</v>
      </c>
      <c r="S8" s="27">
        <v>280000.0</v>
      </c>
      <c r="T8" s="27">
        <f t="shared" si="4"/>
        <v>1305190.69</v>
      </c>
      <c r="U8" s="27">
        <v>325000.0</v>
      </c>
      <c r="V8" s="27">
        <f t="shared" si="9"/>
        <v>604500</v>
      </c>
      <c r="W8" s="27">
        <f t="shared" si="5"/>
        <v>700690.69</v>
      </c>
      <c r="X8" s="29">
        <v>279500.0</v>
      </c>
      <c r="Y8" s="29">
        <v>35007.82</v>
      </c>
      <c r="Z8" s="29">
        <v>3274.56</v>
      </c>
      <c r="AA8" s="29">
        <v>46898.16</v>
      </c>
      <c r="AB8" s="29">
        <v>54164.5</v>
      </c>
      <c r="AC8" s="29">
        <f t="shared" si="6"/>
        <v>101062.66</v>
      </c>
      <c r="AD8" s="29">
        <v>3303.81</v>
      </c>
      <c r="AE8" s="29">
        <v>67549.76</v>
      </c>
      <c r="AF8" s="29">
        <v>0.0</v>
      </c>
      <c r="AG8" s="29">
        <f t="shared" si="7"/>
        <v>70853.57</v>
      </c>
      <c r="AH8" s="27">
        <v>33818.5</v>
      </c>
      <c r="AI8" s="27">
        <f t="shared" si="8"/>
        <v>734509.19</v>
      </c>
    </row>
    <row r="9" ht="13.5" customHeight="1">
      <c r="A9" s="30">
        <v>6.0</v>
      </c>
      <c r="B9" s="31" t="s">
        <v>169</v>
      </c>
      <c r="C9" s="32">
        <v>5.1</v>
      </c>
      <c r="D9" s="32">
        <v>5.0</v>
      </c>
      <c r="E9" s="32">
        <f t="shared" si="1"/>
        <v>0.9803921569</v>
      </c>
      <c r="F9" s="32">
        <f t="shared" si="2"/>
        <v>98.03921569</v>
      </c>
      <c r="G9" s="33">
        <v>21.0</v>
      </c>
      <c r="H9" s="31" t="s">
        <v>72</v>
      </c>
      <c r="I9" s="31" t="s">
        <v>160</v>
      </c>
      <c r="J9" s="31" t="s">
        <v>161</v>
      </c>
      <c r="K9" s="32">
        <f t="shared" si="3"/>
        <v>25000</v>
      </c>
      <c r="L9" s="31" t="s">
        <v>162</v>
      </c>
      <c r="M9" s="31" t="s">
        <v>163</v>
      </c>
      <c r="N9" s="31" t="s">
        <v>164</v>
      </c>
      <c r="O9" s="32">
        <v>3.0</v>
      </c>
      <c r="P9" s="32">
        <v>44.56</v>
      </c>
      <c r="Q9" s="32">
        <v>227.3</v>
      </c>
      <c r="R9" s="32">
        <v>1363503.62</v>
      </c>
      <c r="S9" s="32">
        <v>105000.0</v>
      </c>
      <c r="T9" s="32">
        <f t="shared" si="4"/>
        <v>1468503.62</v>
      </c>
      <c r="U9" s="32">
        <v>125000.0</v>
      </c>
      <c r="V9" s="32">
        <f t="shared" si="9"/>
        <v>232500</v>
      </c>
      <c r="W9" s="32">
        <f t="shared" si="5"/>
        <v>1236003.62</v>
      </c>
      <c r="X9" s="29">
        <v>107500.0</v>
      </c>
      <c r="Y9" s="29">
        <v>112772.14</v>
      </c>
      <c r="Z9" s="29">
        <v>8358.37</v>
      </c>
      <c r="AA9" s="29">
        <v>55819.97</v>
      </c>
      <c r="AB9" s="29">
        <v>20832.5</v>
      </c>
      <c r="AC9" s="29">
        <f t="shared" si="6"/>
        <v>76652.47</v>
      </c>
      <c r="AD9" s="29">
        <v>2872.19</v>
      </c>
      <c r="AE9" s="29">
        <v>102763.3</v>
      </c>
      <c r="AF9" s="29">
        <v>0.0</v>
      </c>
      <c r="AG9" s="29">
        <f t="shared" si="7"/>
        <v>105635.49</v>
      </c>
      <c r="AH9" s="32">
        <v>19396.23</v>
      </c>
      <c r="AI9" s="32">
        <f t="shared" si="8"/>
        <v>1255399.85</v>
      </c>
    </row>
    <row r="10" ht="13.5" customHeight="1">
      <c r="A10" s="25">
        <v>7.0</v>
      </c>
      <c r="B10" s="26" t="s">
        <v>170</v>
      </c>
      <c r="C10" s="27">
        <v>3.2</v>
      </c>
      <c r="D10" s="27">
        <v>10.0</v>
      </c>
      <c r="E10" s="27">
        <f t="shared" si="1"/>
        <v>3.125</v>
      </c>
      <c r="F10" s="27">
        <f t="shared" si="2"/>
        <v>312.5</v>
      </c>
      <c r="G10" s="28">
        <v>21.0</v>
      </c>
      <c r="H10" s="26" t="s">
        <v>72</v>
      </c>
      <c r="I10" s="26" t="s">
        <v>160</v>
      </c>
      <c r="J10" s="26" t="s">
        <v>161</v>
      </c>
      <c r="K10" s="27">
        <f t="shared" si="3"/>
        <v>25000</v>
      </c>
      <c r="L10" s="26" t="s">
        <v>162</v>
      </c>
      <c r="M10" s="26" t="s">
        <v>163</v>
      </c>
      <c r="N10" s="26" t="s">
        <v>164</v>
      </c>
      <c r="O10" s="27">
        <v>6.0</v>
      </c>
      <c r="P10" s="27">
        <v>47.46</v>
      </c>
      <c r="Q10" s="27">
        <v>151.9</v>
      </c>
      <c r="R10" s="27">
        <v>911280.61</v>
      </c>
      <c r="S10" s="27">
        <v>210000.0</v>
      </c>
      <c r="T10" s="27">
        <f t="shared" si="4"/>
        <v>1121280.61</v>
      </c>
      <c r="U10" s="27">
        <v>250000.0</v>
      </c>
      <c r="V10" s="27">
        <f t="shared" si="9"/>
        <v>465000</v>
      </c>
      <c r="W10" s="27">
        <f t="shared" si="5"/>
        <v>656280.61</v>
      </c>
      <c r="X10" s="29">
        <v>215000.0</v>
      </c>
      <c r="Y10" s="29">
        <v>35983.26</v>
      </c>
      <c r="Z10" s="29">
        <v>3197.15</v>
      </c>
      <c r="AA10" s="29">
        <v>44216.01</v>
      </c>
      <c r="AB10" s="29">
        <v>41665.0</v>
      </c>
      <c r="AC10" s="29">
        <f t="shared" si="6"/>
        <v>85881.01</v>
      </c>
      <c r="AD10" s="29">
        <v>2727.07</v>
      </c>
      <c r="AE10" s="29">
        <v>60863.68</v>
      </c>
      <c r="AF10" s="29">
        <v>0.0</v>
      </c>
      <c r="AG10" s="29">
        <f t="shared" si="7"/>
        <v>63590.75</v>
      </c>
      <c r="AH10" s="27">
        <v>27865.13</v>
      </c>
      <c r="AI10" s="27">
        <f t="shared" si="8"/>
        <v>684145.74</v>
      </c>
    </row>
    <row r="11" ht="13.5" customHeight="1">
      <c r="A11" s="30">
        <v>8.0</v>
      </c>
      <c r="B11" s="31" t="s">
        <v>171</v>
      </c>
      <c r="C11" s="32">
        <v>10.0</v>
      </c>
      <c r="D11" s="32">
        <v>65.0</v>
      </c>
      <c r="E11" s="32">
        <f t="shared" si="1"/>
        <v>6.5</v>
      </c>
      <c r="F11" s="32">
        <f t="shared" si="2"/>
        <v>650</v>
      </c>
      <c r="G11" s="33">
        <v>21.0</v>
      </c>
      <c r="H11" s="31" t="s">
        <v>72</v>
      </c>
      <c r="I11" s="31" t="s">
        <v>160</v>
      </c>
      <c r="J11" s="31" t="s">
        <v>161</v>
      </c>
      <c r="K11" s="32">
        <f t="shared" si="3"/>
        <v>25000</v>
      </c>
      <c r="L11" s="31" t="s">
        <v>162</v>
      </c>
      <c r="M11" s="31" t="s">
        <v>163</v>
      </c>
      <c r="N11" s="31" t="s">
        <v>164</v>
      </c>
      <c r="O11" s="32">
        <v>28.0</v>
      </c>
      <c r="P11" s="32">
        <v>40.05</v>
      </c>
      <c r="Q11" s="32">
        <v>400.5</v>
      </c>
      <c r="R11" s="32">
        <v>2402790.68</v>
      </c>
      <c r="S11" s="32">
        <v>980000.0</v>
      </c>
      <c r="T11" s="32">
        <f t="shared" si="4"/>
        <v>3382790.68</v>
      </c>
      <c r="U11" s="32">
        <v>1625000.0</v>
      </c>
      <c r="V11" s="32">
        <f t="shared" si="9"/>
        <v>3631875</v>
      </c>
      <c r="W11" s="32">
        <f t="shared" si="5"/>
        <v>-249084.32</v>
      </c>
      <c r="X11" s="29">
        <v>2006875.0</v>
      </c>
      <c r="Y11" s="29">
        <v>45092.99</v>
      </c>
      <c r="Z11" s="29">
        <v>6025.77</v>
      </c>
      <c r="AA11" s="29">
        <v>78163.6</v>
      </c>
      <c r="AB11" s="29">
        <v>270822.5</v>
      </c>
      <c r="AC11" s="29">
        <f t="shared" si="6"/>
        <v>348986.1</v>
      </c>
      <c r="AD11" s="29">
        <v>10606.88</v>
      </c>
      <c r="AE11" s="29">
        <v>182050.18</v>
      </c>
      <c r="AF11" s="29">
        <v>0.0</v>
      </c>
      <c r="AG11" s="29">
        <f t="shared" si="7"/>
        <v>192657.06</v>
      </c>
      <c r="AH11" s="32">
        <v>99121.2</v>
      </c>
      <c r="AI11" s="32">
        <f t="shared" si="8"/>
        <v>-149963.12</v>
      </c>
    </row>
    <row r="12" ht="13.5" customHeight="1">
      <c r="A12" s="25">
        <v>9.0</v>
      </c>
      <c r="B12" s="26" t="s">
        <v>172</v>
      </c>
      <c r="C12" s="27">
        <v>5.5</v>
      </c>
      <c r="D12" s="27">
        <v>40.0</v>
      </c>
      <c r="E12" s="27">
        <f t="shared" si="1"/>
        <v>7.272727273</v>
      </c>
      <c r="F12" s="27">
        <f t="shared" si="2"/>
        <v>727.2727273</v>
      </c>
      <c r="G12" s="28">
        <v>21.0</v>
      </c>
      <c r="H12" s="26" t="s">
        <v>72</v>
      </c>
      <c r="I12" s="26" t="s">
        <v>160</v>
      </c>
      <c r="J12" s="26" t="s">
        <v>161</v>
      </c>
      <c r="K12" s="27">
        <f t="shared" si="3"/>
        <v>25000</v>
      </c>
      <c r="L12" s="26" t="s">
        <v>162</v>
      </c>
      <c r="M12" s="26" t="s">
        <v>163</v>
      </c>
      <c r="N12" s="26" t="s">
        <v>164</v>
      </c>
      <c r="O12" s="27">
        <v>15.0</v>
      </c>
      <c r="P12" s="27">
        <v>37.75</v>
      </c>
      <c r="Q12" s="27">
        <v>207.6</v>
      </c>
      <c r="R12" s="27">
        <v>1245891.46</v>
      </c>
      <c r="S12" s="27">
        <v>525000.0</v>
      </c>
      <c r="T12" s="27">
        <f t="shared" si="4"/>
        <v>1770891.46</v>
      </c>
      <c r="U12" s="27">
        <v>1000000.0</v>
      </c>
      <c r="V12" s="27">
        <f t="shared" si="9"/>
        <v>2350909.09</v>
      </c>
      <c r="W12" s="27">
        <f t="shared" si="5"/>
        <v>-580017.63</v>
      </c>
      <c r="X12" s="29">
        <v>1350909.09</v>
      </c>
      <c r="Y12" s="29">
        <v>20914.19</v>
      </c>
      <c r="Z12" s="29">
        <v>3085.34</v>
      </c>
      <c r="AA12" s="29">
        <v>57967.68</v>
      </c>
      <c r="AB12" s="29">
        <v>166660.0</v>
      </c>
      <c r="AC12" s="29">
        <f t="shared" si="6"/>
        <v>224627.68</v>
      </c>
      <c r="AD12" s="29">
        <v>5776.83</v>
      </c>
      <c r="AE12" s="29">
        <v>100350.22</v>
      </c>
      <c r="AF12" s="29">
        <v>0.0</v>
      </c>
      <c r="AG12" s="29">
        <f t="shared" si="7"/>
        <v>106127.05</v>
      </c>
      <c r="AH12" s="27">
        <v>52791.61</v>
      </c>
      <c r="AI12" s="27">
        <f t="shared" si="8"/>
        <v>-527226.02</v>
      </c>
    </row>
    <row r="13" ht="13.5" customHeight="1">
      <c r="A13" s="30">
        <v>10.0</v>
      </c>
      <c r="B13" s="31" t="s">
        <v>173</v>
      </c>
      <c r="C13" s="32">
        <v>7.26</v>
      </c>
      <c r="D13" s="32">
        <v>9.0</v>
      </c>
      <c r="E13" s="32">
        <f t="shared" si="1"/>
        <v>1.239669421</v>
      </c>
      <c r="F13" s="32">
        <f t="shared" si="2"/>
        <v>123.9669421</v>
      </c>
      <c r="G13" s="33">
        <v>21.0</v>
      </c>
      <c r="H13" s="31" t="s">
        <v>72</v>
      </c>
      <c r="I13" s="31" t="s">
        <v>160</v>
      </c>
      <c r="J13" s="31" t="s">
        <v>161</v>
      </c>
      <c r="K13" s="32">
        <f t="shared" si="3"/>
        <v>25000</v>
      </c>
      <c r="L13" s="31" t="s">
        <v>162</v>
      </c>
      <c r="M13" s="31" t="s">
        <v>163</v>
      </c>
      <c r="N13" s="31" t="s">
        <v>164</v>
      </c>
      <c r="O13" s="32">
        <v>5.0</v>
      </c>
      <c r="P13" s="32">
        <v>45.3</v>
      </c>
      <c r="Q13" s="32">
        <v>328.9</v>
      </c>
      <c r="R13" s="32">
        <v>1973150.35</v>
      </c>
      <c r="S13" s="32">
        <v>175000.0</v>
      </c>
      <c r="T13" s="32">
        <f t="shared" si="4"/>
        <v>2148150.35</v>
      </c>
      <c r="U13" s="32">
        <v>225000.0</v>
      </c>
      <c r="V13" s="32">
        <f t="shared" si="9"/>
        <v>418500</v>
      </c>
      <c r="W13" s="32">
        <f t="shared" si="5"/>
        <v>1729650.35</v>
      </c>
      <c r="X13" s="29">
        <v>193500.0</v>
      </c>
      <c r="Y13" s="29">
        <v>147569.58</v>
      </c>
      <c r="Z13" s="29">
        <v>11135.11</v>
      </c>
      <c r="AA13" s="29">
        <v>66599.79</v>
      </c>
      <c r="AB13" s="29">
        <v>37498.5</v>
      </c>
      <c r="AC13" s="29">
        <f t="shared" si="6"/>
        <v>104098.29</v>
      </c>
      <c r="AD13" s="29">
        <v>4342.33</v>
      </c>
      <c r="AE13" s="29">
        <v>145294.97</v>
      </c>
      <c r="AF13" s="29">
        <v>0.0</v>
      </c>
      <c r="AG13" s="29">
        <f t="shared" si="7"/>
        <v>149637.3</v>
      </c>
      <c r="AH13" s="32">
        <v>33462.4</v>
      </c>
      <c r="AI13" s="32">
        <f t="shared" si="8"/>
        <v>1763112.75</v>
      </c>
    </row>
    <row r="14" ht="13.5" customHeight="1">
      <c r="A14" s="25">
        <v>11.0</v>
      </c>
      <c r="B14" s="26" t="s">
        <v>174</v>
      </c>
      <c r="C14" s="27">
        <v>6.6</v>
      </c>
      <c r="D14" s="27">
        <v>30.0</v>
      </c>
      <c r="E14" s="27">
        <f t="shared" si="1"/>
        <v>4.545454545</v>
      </c>
      <c r="F14" s="27">
        <f t="shared" si="2"/>
        <v>454.5454545</v>
      </c>
      <c r="G14" s="28">
        <v>21.0</v>
      </c>
      <c r="H14" s="26" t="s">
        <v>72</v>
      </c>
      <c r="I14" s="26" t="s">
        <v>160</v>
      </c>
      <c r="J14" s="26" t="s">
        <v>161</v>
      </c>
      <c r="K14" s="27">
        <f t="shared" si="3"/>
        <v>25000</v>
      </c>
      <c r="L14" s="26" t="s">
        <v>162</v>
      </c>
      <c r="M14" s="26" t="s">
        <v>163</v>
      </c>
      <c r="N14" s="26" t="s">
        <v>164</v>
      </c>
      <c r="O14" s="27">
        <v>17.0</v>
      </c>
      <c r="P14" s="27">
        <v>45.84</v>
      </c>
      <c r="Q14" s="27">
        <v>302.6</v>
      </c>
      <c r="R14" s="27">
        <v>1815441.85</v>
      </c>
      <c r="S14" s="27">
        <v>595000.0</v>
      </c>
      <c r="T14" s="27">
        <f t="shared" si="4"/>
        <v>2410441.85</v>
      </c>
      <c r="U14" s="27">
        <v>750000.0</v>
      </c>
      <c r="V14" s="27">
        <f t="shared" si="9"/>
        <v>1456363.64</v>
      </c>
      <c r="W14" s="27">
        <f t="shared" si="5"/>
        <v>954078.21</v>
      </c>
      <c r="X14" s="29">
        <v>706363.64</v>
      </c>
      <c r="Y14" s="29">
        <v>49089.97</v>
      </c>
      <c r="Z14" s="29">
        <v>5114.92</v>
      </c>
      <c r="AA14" s="29">
        <v>63500.41</v>
      </c>
      <c r="AB14" s="29">
        <v>124995.0</v>
      </c>
      <c r="AC14" s="29">
        <f t="shared" si="6"/>
        <v>188495.41</v>
      </c>
      <c r="AD14" s="29">
        <v>6639.98</v>
      </c>
      <c r="AE14" s="29">
        <v>121562.44</v>
      </c>
      <c r="AF14" s="29">
        <v>0.0</v>
      </c>
      <c r="AG14" s="29">
        <f t="shared" si="7"/>
        <v>128202.42</v>
      </c>
      <c r="AH14" s="27">
        <v>66465.6</v>
      </c>
      <c r="AI14" s="27">
        <f t="shared" si="8"/>
        <v>1020543.81</v>
      </c>
    </row>
    <row r="15" ht="13.5" customHeight="1">
      <c r="A15" s="30">
        <v>12.0</v>
      </c>
      <c r="B15" s="31" t="s">
        <v>175</v>
      </c>
      <c r="C15" s="32">
        <v>10.5</v>
      </c>
      <c r="D15" s="32">
        <v>28.0</v>
      </c>
      <c r="E15" s="32">
        <f t="shared" si="1"/>
        <v>2.666666667</v>
      </c>
      <c r="F15" s="32">
        <f t="shared" si="2"/>
        <v>266.6666667</v>
      </c>
      <c r="G15" s="33">
        <v>21.0</v>
      </c>
      <c r="H15" s="31" t="s">
        <v>72</v>
      </c>
      <c r="I15" s="31" t="s">
        <v>160</v>
      </c>
      <c r="J15" s="31" t="s">
        <v>161</v>
      </c>
      <c r="K15" s="32">
        <f t="shared" si="3"/>
        <v>25000</v>
      </c>
      <c r="L15" s="31" t="s">
        <v>162</v>
      </c>
      <c r="M15" s="31" t="s">
        <v>163</v>
      </c>
      <c r="N15" s="31" t="s">
        <v>164</v>
      </c>
      <c r="O15" s="32">
        <v>17.0</v>
      </c>
      <c r="P15" s="32">
        <v>47.46</v>
      </c>
      <c r="Q15" s="32">
        <v>498.4</v>
      </c>
      <c r="R15" s="32">
        <v>2990139.52</v>
      </c>
      <c r="S15" s="32">
        <v>595000.0</v>
      </c>
      <c r="T15" s="32">
        <f t="shared" si="4"/>
        <v>3585139.52</v>
      </c>
      <c r="U15" s="32">
        <v>700000.0</v>
      </c>
      <c r="V15" s="32">
        <f t="shared" si="9"/>
        <v>1302000</v>
      </c>
      <c r="W15" s="32">
        <f t="shared" si="5"/>
        <v>2283139.52</v>
      </c>
      <c r="X15" s="29">
        <v>602000.0</v>
      </c>
      <c r="Y15" s="29">
        <v>135824.53</v>
      </c>
      <c r="Z15" s="29">
        <v>11535.88</v>
      </c>
      <c r="AA15" s="29">
        <v>80093.85</v>
      </c>
      <c r="AB15" s="29">
        <v>116662.0</v>
      </c>
      <c r="AC15" s="29">
        <f t="shared" si="6"/>
        <v>196755.85</v>
      </c>
      <c r="AD15" s="29">
        <v>8299.61</v>
      </c>
      <c r="AE15" s="29">
        <v>202244.16</v>
      </c>
      <c r="AF15" s="29">
        <v>0.0</v>
      </c>
      <c r="AG15" s="29">
        <f t="shared" si="7"/>
        <v>210543.77</v>
      </c>
      <c r="AH15" s="32">
        <v>83419.53</v>
      </c>
      <c r="AI15" s="32">
        <f t="shared" si="8"/>
        <v>2366559.05</v>
      </c>
    </row>
    <row r="16" ht="13.5" customHeight="1">
      <c r="A16" s="25">
        <v>13.0</v>
      </c>
      <c r="B16" s="26" t="s">
        <v>176</v>
      </c>
      <c r="C16" s="27">
        <v>4.8</v>
      </c>
      <c r="D16" s="27">
        <v>8.0</v>
      </c>
      <c r="E16" s="27">
        <f t="shared" si="1"/>
        <v>1.666666667</v>
      </c>
      <c r="F16" s="27">
        <f t="shared" si="2"/>
        <v>166.6666667</v>
      </c>
      <c r="G16" s="28">
        <v>21.0</v>
      </c>
      <c r="H16" s="26" t="s">
        <v>72</v>
      </c>
      <c r="I16" s="26" t="s">
        <v>160</v>
      </c>
      <c r="J16" s="26" t="s">
        <v>161</v>
      </c>
      <c r="K16" s="27">
        <f t="shared" si="3"/>
        <v>25000</v>
      </c>
      <c r="L16" s="26" t="s">
        <v>162</v>
      </c>
      <c r="M16" s="26" t="s">
        <v>163</v>
      </c>
      <c r="N16" s="26" t="s">
        <v>164</v>
      </c>
      <c r="O16" s="27">
        <v>4.0</v>
      </c>
      <c r="P16" s="27">
        <v>46.51</v>
      </c>
      <c r="Q16" s="27">
        <v>223.3</v>
      </c>
      <c r="R16" s="27">
        <v>1339582.5</v>
      </c>
      <c r="S16" s="27">
        <v>140000.0</v>
      </c>
      <c r="T16" s="27">
        <f t="shared" si="4"/>
        <v>1479582.5</v>
      </c>
      <c r="U16" s="27">
        <v>200000.0</v>
      </c>
      <c r="V16" s="27">
        <f t="shared" si="9"/>
        <v>372000</v>
      </c>
      <c r="W16" s="27">
        <f t="shared" si="5"/>
        <v>1107582.5</v>
      </c>
      <c r="X16" s="29">
        <v>172000.0</v>
      </c>
      <c r="Y16" s="29">
        <v>85040.13</v>
      </c>
      <c r="Z16" s="29">
        <v>6624.6</v>
      </c>
      <c r="AA16" s="29">
        <v>54153.33</v>
      </c>
      <c r="AB16" s="29">
        <v>33332.0</v>
      </c>
      <c r="AC16" s="29">
        <f t="shared" si="6"/>
        <v>87485.33</v>
      </c>
      <c r="AD16" s="29">
        <v>3147.19</v>
      </c>
      <c r="AE16" s="29">
        <v>94983.08</v>
      </c>
      <c r="AF16" s="29">
        <v>0.0</v>
      </c>
      <c r="AG16" s="29">
        <f t="shared" si="7"/>
        <v>98130.27</v>
      </c>
      <c r="AH16" s="27">
        <v>27777.36</v>
      </c>
      <c r="AI16" s="27">
        <f t="shared" si="8"/>
        <v>1135359.86</v>
      </c>
    </row>
    <row r="17" ht="13.5" customHeight="1">
      <c r="A17" s="30">
        <v>14.0</v>
      </c>
      <c r="B17" s="31" t="s">
        <v>177</v>
      </c>
      <c r="C17" s="32">
        <v>4.5</v>
      </c>
      <c r="D17" s="32">
        <v>10.0</v>
      </c>
      <c r="E17" s="32">
        <f t="shared" si="1"/>
        <v>2.222222222</v>
      </c>
      <c r="F17" s="32">
        <f t="shared" si="2"/>
        <v>222.2222222</v>
      </c>
      <c r="G17" s="33">
        <v>21.0</v>
      </c>
      <c r="H17" s="31" t="s">
        <v>80</v>
      </c>
      <c r="I17" s="31" t="s">
        <v>160</v>
      </c>
      <c r="J17" s="31" t="s">
        <v>161</v>
      </c>
      <c r="K17" s="32">
        <f t="shared" si="3"/>
        <v>25000</v>
      </c>
      <c r="L17" s="31" t="s">
        <v>162</v>
      </c>
      <c r="M17" s="31" t="s">
        <v>163</v>
      </c>
      <c r="N17" s="31" t="s">
        <v>178</v>
      </c>
      <c r="O17" s="32">
        <v>6.0</v>
      </c>
      <c r="P17" s="32">
        <v>47.46</v>
      </c>
      <c r="Q17" s="32">
        <v>213.6</v>
      </c>
      <c r="R17" s="32">
        <v>1281488.36</v>
      </c>
      <c r="S17" s="32">
        <v>210000.0</v>
      </c>
      <c r="T17" s="32">
        <f t="shared" si="4"/>
        <v>1491488.36</v>
      </c>
      <c r="U17" s="32">
        <v>250000.0</v>
      </c>
      <c r="V17" s="32">
        <f t="shared" si="9"/>
        <v>465000</v>
      </c>
      <c r="W17" s="32">
        <f t="shared" si="5"/>
        <v>1026488.36</v>
      </c>
      <c r="X17" s="29">
        <v>215000.0</v>
      </c>
      <c r="Y17" s="29">
        <v>66851.26</v>
      </c>
      <c r="Z17" s="29">
        <v>5452.65</v>
      </c>
      <c r="AA17" s="29">
        <v>52433.74</v>
      </c>
      <c r="AB17" s="29">
        <v>41665.0</v>
      </c>
      <c r="AC17" s="29">
        <f t="shared" si="6"/>
        <v>94098.74</v>
      </c>
      <c r="AD17" s="29">
        <v>3287.43</v>
      </c>
      <c r="AE17" s="29">
        <v>87729.65</v>
      </c>
      <c r="AF17" s="29">
        <v>0.0</v>
      </c>
      <c r="AG17" s="29">
        <f t="shared" si="7"/>
        <v>91017.08</v>
      </c>
      <c r="AH17" s="32">
        <v>31851.49</v>
      </c>
      <c r="AI17" s="32">
        <f t="shared" si="8"/>
        <v>1058339.85</v>
      </c>
    </row>
    <row r="18" ht="13.5" customHeight="1">
      <c r="A18" s="25">
        <v>15.0</v>
      </c>
      <c r="B18" s="26" t="s">
        <v>179</v>
      </c>
      <c r="C18" s="27">
        <v>5.1</v>
      </c>
      <c r="D18" s="27">
        <v>10.0</v>
      </c>
      <c r="E18" s="27">
        <f t="shared" si="1"/>
        <v>1.960784314</v>
      </c>
      <c r="F18" s="27">
        <f t="shared" si="2"/>
        <v>196.0784314</v>
      </c>
      <c r="G18" s="28">
        <v>21.0</v>
      </c>
      <c r="H18" s="26" t="s">
        <v>80</v>
      </c>
      <c r="I18" s="26" t="s">
        <v>160</v>
      </c>
      <c r="J18" s="26" t="s">
        <v>161</v>
      </c>
      <c r="K18" s="27">
        <f t="shared" si="3"/>
        <v>25000</v>
      </c>
      <c r="L18" s="26" t="s">
        <v>162</v>
      </c>
      <c r="M18" s="26" t="s">
        <v>163</v>
      </c>
      <c r="N18" s="26" t="s">
        <v>178</v>
      </c>
      <c r="O18" s="27">
        <v>6.0</v>
      </c>
      <c r="P18" s="27">
        <v>47.35</v>
      </c>
      <c r="Q18" s="27">
        <v>241.5</v>
      </c>
      <c r="R18" s="27">
        <v>1448936.18</v>
      </c>
      <c r="S18" s="27">
        <v>210000.0</v>
      </c>
      <c r="T18" s="27">
        <f t="shared" si="4"/>
        <v>1658936.18</v>
      </c>
      <c r="U18" s="27">
        <v>250000.0</v>
      </c>
      <c r="V18" s="27">
        <f t="shared" si="9"/>
        <v>465000</v>
      </c>
      <c r="W18" s="27">
        <f t="shared" si="5"/>
        <v>1193936.18</v>
      </c>
      <c r="X18" s="29">
        <v>215000.0</v>
      </c>
      <c r="Y18" s="29">
        <v>82278.37</v>
      </c>
      <c r="Z18" s="29">
        <v>6563.14</v>
      </c>
      <c r="AA18" s="29">
        <v>55819.97</v>
      </c>
      <c r="AB18" s="29">
        <v>41665.0</v>
      </c>
      <c r="AC18" s="29">
        <f t="shared" si="6"/>
        <v>97484.97</v>
      </c>
      <c r="AD18" s="29">
        <v>3546.05</v>
      </c>
      <c r="AE18" s="29">
        <v>100129.33</v>
      </c>
      <c r="AF18" s="29">
        <v>0.0</v>
      </c>
      <c r="AG18" s="29">
        <f t="shared" si="7"/>
        <v>103675.38</v>
      </c>
      <c r="AH18" s="27">
        <v>33158.64</v>
      </c>
      <c r="AI18" s="27">
        <f t="shared" si="8"/>
        <v>1227094.82</v>
      </c>
    </row>
    <row r="19" ht="13.5" customHeight="1">
      <c r="A19" s="30">
        <v>16.0</v>
      </c>
      <c r="B19" s="31" t="s">
        <v>180</v>
      </c>
      <c r="C19" s="32">
        <v>3.2</v>
      </c>
      <c r="D19" s="32">
        <v>3.0</v>
      </c>
      <c r="E19" s="32">
        <f t="shared" si="1"/>
        <v>0.9375</v>
      </c>
      <c r="F19" s="32">
        <f t="shared" si="2"/>
        <v>93.75</v>
      </c>
      <c r="G19" s="33">
        <v>21.0</v>
      </c>
      <c r="H19" s="31" t="s">
        <v>72</v>
      </c>
      <c r="I19" s="31" t="s">
        <v>160</v>
      </c>
      <c r="J19" s="31" t="s">
        <v>161</v>
      </c>
      <c r="K19" s="32">
        <f t="shared" si="3"/>
        <v>25000</v>
      </c>
      <c r="L19" s="31" t="s">
        <v>162</v>
      </c>
      <c r="M19" s="31" t="s">
        <v>163</v>
      </c>
      <c r="N19" s="31" t="s">
        <v>164</v>
      </c>
      <c r="O19" s="32">
        <v>1.0</v>
      </c>
      <c r="P19" s="32">
        <v>44.44</v>
      </c>
      <c r="Q19" s="32">
        <v>142.2</v>
      </c>
      <c r="R19" s="32">
        <v>853186.48</v>
      </c>
      <c r="S19" s="32">
        <v>35000.0</v>
      </c>
      <c r="T19" s="32">
        <f t="shared" si="4"/>
        <v>888186.48</v>
      </c>
      <c r="U19" s="32">
        <v>75000.0</v>
      </c>
      <c r="V19" s="32">
        <f t="shared" si="9"/>
        <v>139500</v>
      </c>
      <c r="W19" s="32">
        <f t="shared" si="5"/>
        <v>748686.48</v>
      </c>
      <c r="X19" s="29">
        <v>64500.0</v>
      </c>
      <c r="Y19" s="29">
        <v>71755.35</v>
      </c>
      <c r="Z19" s="29">
        <v>5303.12</v>
      </c>
      <c r="AA19" s="29">
        <v>45477.02</v>
      </c>
      <c r="AB19" s="29">
        <v>12855.98</v>
      </c>
      <c r="AC19" s="29">
        <f t="shared" si="6"/>
        <v>58333</v>
      </c>
      <c r="AD19" s="29">
        <v>1783.66</v>
      </c>
      <c r="AE19" s="29">
        <v>64551.24</v>
      </c>
      <c r="AF19" s="29">
        <v>0.0</v>
      </c>
      <c r="AG19" s="29">
        <f t="shared" si="7"/>
        <v>66334.9</v>
      </c>
      <c r="AH19" s="32">
        <v>11720.51</v>
      </c>
      <c r="AI19" s="32">
        <f t="shared" si="8"/>
        <v>760406.99</v>
      </c>
    </row>
    <row r="20" ht="13.5" customHeight="1">
      <c r="A20" s="25">
        <v>17.0</v>
      </c>
      <c r="B20" s="26" t="s">
        <v>181</v>
      </c>
      <c r="C20" s="27">
        <v>14.41</v>
      </c>
      <c r="D20" s="27">
        <v>30.0</v>
      </c>
      <c r="E20" s="27">
        <f t="shared" si="1"/>
        <v>2.081887578</v>
      </c>
      <c r="F20" s="27">
        <f t="shared" si="2"/>
        <v>208.1887578</v>
      </c>
      <c r="G20" s="28">
        <v>21.0</v>
      </c>
      <c r="H20" s="26" t="s">
        <v>72</v>
      </c>
      <c r="I20" s="26" t="s">
        <v>160</v>
      </c>
      <c r="J20" s="26" t="s">
        <v>161</v>
      </c>
      <c r="K20" s="27">
        <f t="shared" si="3"/>
        <v>25000</v>
      </c>
      <c r="L20" s="26" t="s">
        <v>162</v>
      </c>
      <c r="M20" s="26" t="s">
        <v>163</v>
      </c>
      <c r="N20" s="26" t="s">
        <v>164</v>
      </c>
      <c r="O20" s="27">
        <v>18.0</v>
      </c>
      <c r="P20" s="27">
        <v>47.46</v>
      </c>
      <c r="Q20" s="27">
        <v>683.9</v>
      </c>
      <c r="R20" s="27">
        <v>4103610.52</v>
      </c>
      <c r="S20" s="27">
        <v>630000.0</v>
      </c>
      <c r="T20" s="27">
        <f t="shared" si="4"/>
        <v>4733610.52</v>
      </c>
      <c r="U20" s="27">
        <v>750000.0</v>
      </c>
      <c r="V20" s="27">
        <f t="shared" si="9"/>
        <v>1395000</v>
      </c>
      <c r="W20" s="27">
        <f t="shared" si="5"/>
        <v>3338610.52</v>
      </c>
      <c r="X20" s="29">
        <v>645000.0</v>
      </c>
      <c r="Y20" s="29">
        <v>223741.99</v>
      </c>
      <c r="Z20" s="29">
        <v>18029.85</v>
      </c>
      <c r="AA20" s="29">
        <v>93828.88</v>
      </c>
      <c r="AB20" s="29">
        <v>124995.0</v>
      </c>
      <c r="AC20" s="29">
        <f t="shared" si="6"/>
        <v>218823.88</v>
      </c>
      <c r="AD20" s="29">
        <v>10254.53</v>
      </c>
      <c r="AE20" s="29">
        <v>281995.14</v>
      </c>
      <c r="AF20" s="29">
        <v>0.0</v>
      </c>
      <c r="AG20" s="29">
        <f t="shared" si="7"/>
        <v>292249.67</v>
      </c>
      <c r="AH20" s="27">
        <v>97631.57</v>
      </c>
      <c r="AI20" s="27">
        <f t="shared" si="8"/>
        <v>3436242.09</v>
      </c>
    </row>
    <row r="21" ht="13.5" customHeight="1">
      <c r="A21" s="30">
        <v>18.0</v>
      </c>
      <c r="B21" s="31" t="s">
        <v>182</v>
      </c>
      <c r="C21" s="32">
        <v>5.5</v>
      </c>
      <c r="D21" s="32">
        <v>50.0</v>
      </c>
      <c r="E21" s="32">
        <f t="shared" si="1"/>
        <v>9.090909091</v>
      </c>
      <c r="F21" s="32">
        <f t="shared" si="2"/>
        <v>909.0909091</v>
      </c>
      <c r="G21" s="33">
        <v>21.0</v>
      </c>
      <c r="H21" s="31" t="s">
        <v>72</v>
      </c>
      <c r="I21" s="31" t="s">
        <v>160</v>
      </c>
      <c r="J21" s="31" t="s">
        <v>161</v>
      </c>
      <c r="K21" s="32">
        <f t="shared" si="3"/>
        <v>25000</v>
      </c>
      <c r="L21" s="31" t="s">
        <v>162</v>
      </c>
      <c r="M21" s="31" t="s">
        <v>163</v>
      </c>
      <c r="N21" s="31" t="s">
        <v>164</v>
      </c>
      <c r="O21" s="32">
        <v>17.0</v>
      </c>
      <c r="P21" s="32">
        <v>35.6</v>
      </c>
      <c r="Q21" s="32">
        <v>195.8</v>
      </c>
      <c r="R21" s="32">
        <v>1174697.67</v>
      </c>
      <c r="S21" s="32">
        <v>595000.0</v>
      </c>
      <c r="T21" s="32">
        <f t="shared" si="4"/>
        <v>1769697.67</v>
      </c>
      <c r="U21" s="32">
        <v>1250000.0</v>
      </c>
      <c r="V21" s="32">
        <f t="shared" si="9"/>
        <v>3075000</v>
      </c>
      <c r="W21" s="32">
        <f t="shared" si="5"/>
        <v>-1305302.33</v>
      </c>
      <c r="X21" s="29">
        <v>1825000.0</v>
      </c>
      <c r="Y21" s="29">
        <v>15021.84</v>
      </c>
      <c r="Z21" s="29">
        <v>2738.45</v>
      </c>
      <c r="AA21" s="29">
        <v>57967.68</v>
      </c>
      <c r="AB21" s="29">
        <v>208325.0</v>
      </c>
      <c r="AC21" s="29">
        <f t="shared" si="6"/>
        <v>266292.68</v>
      </c>
      <c r="AD21" s="29">
        <v>6077.01</v>
      </c>
      <c r="AE21" s="29">
        <v>99176.9</v>
      </c>
      <c r="AF21" s="29">
        <v>0.0</v>
      </c>
      <c r="AG21" s="29">
        <f t="shared" si="7"/>
        <v>105253.91</v>
      </c>
      <c r="AH21" s="32">
        <v>51769.44</v>
      </c>
      <c r="AI21" s="32">
        <f t="shared" si="8"/>
        <v>-1253532.89</v>
      </c>
    </row>
    <row r="22" ht="13.5" customHeight="1">
      <c r="A22" s="25">
        <v>19.0</v>
      </c>
      <c r="B22" s="26" t="s">
        <v>183</v>
      </c>
      <c r="C22" s="27">
        <v>6.35</v>
      </c>
      <c r="D22" s="27">
        <v>20.0</v>
      </c>
      <c r="E22" s="27">
        <f t="shared" si="1"/>
        <v>3.149606299</v>
      </c>
      <c r="F22" s="27">
        <f t="shared" si="2"/>
        <v>314.9606299</v>
      </c>
      <c r="G22" s="28">
        <v>21.0</v>
      </c>
      <c r="H22" s="26" t="s">
        <v>72</v>
      </c>
      <c r="I22" s="26" t="s">
        <v>160</v>
      </c>
      <c r="J22" s="26" t="s">
        <v>184</v>
      </c>
      <c r="K22" s="27">
        <f t="shared" si="3"/>
        <v>25000</v>
      </c>
      <c r="L22" s="26" t="s">
        <v>185</v>
      </c>
      <c r="M22" s="26" t="s">
        <v>186</v>
      </c>
      <c r="N22" s="26" t="s">
        <v>187</v>
      </c>
      <c r="O22" s="27">
        <v>12.0</v>
      </c>
      <c r="P22" s="27">
        <v>47.46</v>
      </c>
      <c r="Q22" s="27">
        <v>301.4</v>
      </c>
      <c r="R22" s="27">
        <v>1808322.47</v>
      </c>
      <c r="S22" s="27">
        <v>420000.0</v>
      </c>
      <c r="T22" s="27">
        <f t="shared" si="4"/>
        <v>2228322.47</v>
      </c>
      <c r="U22" s="27">
        <v>500000.0</v>
      </c>
      <c r="V22" s="27">
        <f t="shared" si="9"/>
        <v>930000</v>
      </c>
      <c r="W22" s="27">
        <f t="shared" si="5"/>
        <v>1298322.47</v>
      </c>
      <c r="X22" s="29">
        <v>430000.0</v>
      </c>
      <c r="Y22" s="29">
        <v>70875.12</v>
      </c>
      <c r="Z22" s="29">
        <v>6313.19</v>
      </c>
      <c r="AA22" s="29">
        <v>62286.14</v>
      </c>
      <c r="AB22" s="29">
        <v>83330.0</v>
      </c>
      <c r="AC22" s="29">
        <f t="shared" si="6"/>
        <v>145616.14</v>
      </c>
      <c r="AD22" s="29">
        <v>5432.59</v>
      </c>
      <c r="AE22" s="29">
        <v>120694.06</v>
      </c>
      <c r="AF22" s="29">
        <v>0.0</v>
      </c>
      <c r="AG22" s="29">
        <f t="shared" si="7"/>
        <v>126126.65</v>
      </c>
      <c r="AH22" s="27">
        <v>55533.68</v>
      </c>
      <c r="AI22" s="27">
        <f t="shared" si="8"/>
        <v>1353856.15</v>
      </c>
    </row>
    <row r="23" ht="13.5" customHeight="1">
      <c r="A23" s="30">
        <v>20.0</v>
      </c>
      <c r="B23" s="31" t="s">
        <v>188</v>
      </c>
      <c r="C23" s="32">
        <v>10.21</v>
      </c>
      <c r="D23" s="32">
        <v>32.0</v>
      </c>
      <c r="E23" s="32">
        <f t="shared" si="1"/>
        <v>3.134182174</v>
      </c>
      <c r="F23" s="32">
        <f t="shared" si="2"/>
        <v>313.4182174</v>
      </c>
      <c r="G23" s="33">
        <v>21.0</v>
      </c>
      <c r="H23" s="31" t="s">
        <v>72</v>
      </c>
      <c r="I23" s="31" t="s">
        <v>160</v>
      </c>
      <c r="J23" s="31" t="s">
        <v>189</v>
      </c>
      <c r="K23" s="32">
        <f t="shared" si="3"/>
        <v>25000</v>
      </c>
      <c r="L23" s="31" t="s">
        <v>190</v>
      </c>
      <c r="M23" s="31" t="s">
        <v>191</v>
      </c>
      <c r="N23" s="31" t="s">
        <v>192</v>
      </c>
      <c r="O23" s="32">
        <v>19.0</v>
      </c>
      <c r="P23" s="32">
        <v>47.46</v>
      </c>
      <c r="Q23" s="32">
        <v>484.6</v>
      </c>
      <c r="R23" s="32">
        <v>2907554.71</v>
      </c>
      <c r="S23" s="32">
        <v>665000.0</v>
      </c>
      <c r="T23" s="32">
        <f t="shared" si="4"/>
        <v>3572554.71</v>
      </c>
      <c r="U23" s="32">
        <v>800000.0</v>
      </c>
      <c r="V23" s="32">
        <f t="shared" si="9"/>
        <v>1488000</v>
      </c>
      <c r="W23" s="32">
        <f t="shared" si="5"/>
        <v>2084554.71</v>
      </c>
      <c r="X23" s="29">
        <v>688000.0</v>
      </c>
      <c r="Y23" s="29">
        <v>114490.74</v>
      </c>
      <c r="Z23" s="29">
        <v>10182.15</v>
      </c>
      <c r="AA23" s="29">
        <v>78980.05</v>
      </c>
      <c r="AB23" s="29">
        <v>133328.0</v>
      </c>
      <c r="AC23" s="29">
        <f t="shared" si="6"/>
        <v>212308.05</v>
      </c>
      <c r="AD23" s="29">
        <v>8713.7</v>
      </c>
      <c r="AE23" s="29">
        <v>194143.81</v>
      </c>
      <c r="AF23" s="29">
        <v>0.0</v>
      </c>
      <c r="AG23" s="29">
        <f t="shared" si="7"/>
        <v>202857.51</v>
      </c>
      <c r="AH23" s="32">
        <v>89050.85</v>
      </c>
      <c r="AI23" s="32">
        <f t="shared" si="8"/>
        <v>2173605.56</v>
      </c>
    </row>
    <row r="24" ht="13.5" customHeight="1">
      <c r="A24" s="25">
        <v>21.0</v>
      </c>
      <c r="B24" s="26" t="s">
        <v>193</v>
      </c>
      <c r="C24" s="27">
        <v>6.6</v>
      </c>
      <c r="D24" s="27">
        <v>19.0</v>
      </c>
      <c r="E24" s="27">
        <f t="shared" si="1"/>
        <v>2.878787879</v>
      </c>
      <c r="F24" s="27">
        <f t="shared" si="2"/>
        <v>287.8787879</v>
      </c>
      <c r="G24" s="28">
        <v>21.0</v>
      </c>
      <c r="H24" s="26" t="s">
        <v>80</v>
      </c>
      <c r="I24" s="26" t="s">
        <v>94</v>
      </c>
      <c r="J24" s="26" t="s">
        <v>194</v>
      </c>
      <c r="K24" s="27">
        <f t="shared" si="3"/>
        <v>25000</v>
      </c>
      <c r="L24" s="26" t="s">
        <v>195</v>
      </c>
      <c r="M24" s="26" t="s">
        <v>196</v>
      </c>
      <c r="N24" s="26" t="s">
        <v>197</v>
      </c>
      <c r="O24" s="27">
        <v>11.0</v>
      </c>
      <c r="P24" s="27">
        <v>45.09</v>
      </c>
      <c r="Q24" s="27">
        <v>297.6</v>
      </c>
      <c r="R24" s="27">
        <v>1785540.45</v>
      </c>
      <c r="S24" s="27">
        <v>385000.0</v>
      </c>
      <c r="T24" s="27">
        <f t="shared" si="4"/>
        <v>2170540.45</v>
      </c>
      <c r="U24" s="27">
        <v>475000.0</v>
      </c>
      <c r="V24" s="27">
        <f t="shared" si="9"/>
        <v>883500</v>
      </c>
      <c r="W24" s="27">
        <f t="shared" si="5"/>
        <v>1287040.45</v>
      </c>
      <c r="X24" s="29">
        <v>408500.0</v>
      </c>
      <c r="Y24" s="29">
        <v>79987.62</v>
      </c>
      <c r="Z24" s="29">
        <v>6933.93</v>
      </c>
      <c r="AA24" s="29">
        <v>63500.41</v>
      </c>
      <c r="AB24" s="29">
        <v>79163.5</v>
      </c>
      <c r="AC24" s="29">
        <f t="shared" si="6"/>
        <v>142663.91</v>
      </c>
      <c r="AD24" s="29">
        <v>5405.58</v>
      </c>
      <c r="AE24" s="29">
        <v>126387.39</v>
      </c>
      <c r="AF24" s="29">
        <v>0.0</v>
      </c>
      <c r="AG24" s="29">
        <f t="shared" si="7"/>
        <v>131792.97</v>
      </c>
      <c r="AH24" s="27">
        <v>54866.75</v>
      </c>
      <c r="AI24" s="27">
        <f t="shared" si="8"/>
        <v>1341907.2</v>
      </c>
    </row>
    <row r="25" ht="13.5" customHeight="1">
      <c r="A25" s="30">
        <v>22.0</v>
      </c>
      <c r="B25" s="31" t="s">
        <v>198</v>
      </c>
      <c r="C25" s="32">
        <v>4.8</v>
      </c>
      <c r="D25" s="32">
        <v>9.0</v>
      </c>
      <c r="E25" s="32">
        <f t="shared" si="1"/>
        <v>1.875</v>
      </c>
      <c r="F25" s="32">
        <f t="shared" si="2"/>
        <v>187.5</v>
      </c>
      <c r="G25" s="33">
        <v>21.0</v>
      </c>
      <c r="H25" s="31" t="s">
        <v>72</v>
      </c>
      <c r="I25" s="31" t="s">
        <v>94</v>
      </c>
      <c r="J25" s="31" t="s">
        <v>199</v>
      </c>
      <c r="K25" s="32">
        <f t="shared" si="3"/>
        <v>25000</v>
      </c>
      <c r="L25" s="31" t="s">
        <v>200</v>
      </c>
      <c r="M25" s="31" t="s">
        <v>201</v>
      </c>
      <c r="N25" s="31" t="s">
        <v>202</v>
      </c>
      <c r="O25" s="32">
        <v>5.0</v>
      </c>
      <c r="P25" s="32">
        <v>44.75</v>
      </c>
      <c r="Q25" s="32">
        <v>214.8</v>
      </c>
      <c r="R25" s="32">
        <v>1288835.56</v>
      </c>
      <c r="S25" s="32">
        <v>175000.0</v>
      </c>
      <c r="T25" s="32">
        <f t="shared" si="4"/>
        <v>1463835.56</v>
      </c>
      <c r="U25" s="32">
        <v>225000.0</v>
      </c>
      <c r="V25" s="32">
        <f t="shared" si="9"/>
        <v>418500</v>
      </c>
      <c r="W25" s="32">
        <f t="shared" si="5"/>
        <v>1045335.56</v>
      </c>
      <c r="X25" s="29">
        <v>193500.0</v>
      </c>
      <c r="Y25" s="29">
        <v>79575.38</v>
      </c>
      <c r="Z25" s="29">
        <v>6302.87</v>
      </c>
      <c r="AA25" s="29">
        <v>54153.33</v>
      </c>
      <c r="AB25" s="29">
        <v>37498.5</v>
      </c>
      <c r="AC25" s="29">
        <f t="shared" si="6"/>
        <v>91651.83</v>
      </c>
      <c r="AD25" s="29">
        <v>3281.97</v>
      </c>
      <c r="AE25" s="29">
        <v>94456.29</v>
      </c>
      <c r="AF25" s="29">
        <v>0.0</v>
      </c>
      <c r="AG25" s="29">
        <f t="shared" si="7"/>
        <v>97738.26</v>
      </c>
      <c r="AH25" s="32">
        <v>30243.71</v>
      </c>
      <c r="AI25" s="32">
        <f t="shared" si="8"/>
        <v>1075579.27</v>
      </c>
    </row>
    <row r="26" ht="13.5" customHeight="1">
      <c r="A26" s="25">
        <v>23.0</v>
      </c>
      <c r="B26" s="26" t="s">
        <v>203</v>
      </c>
      <c r="C26" s="27">
        <v>10.0</v>
      </c>
      <c r="D26" s="27">
        <v>32.0</v>
      </c>
      <c r="E26" s="27">
        <f t="shared" si="1"/>
        <v>3.2</v>
      </c>
      <c r="F26" s="27">
        <f t="shared" si="2"/>
        <v>320</v>
      </c>
      <c r="G26" s="28">
        <v>21.0</v>
      </c>
      <c r="H26" s="26" t="s">
        <v>72</v>
      </c>
      <c r="I26" s="26" t="s">
        <v>160</v>
      </c>
      <c r="J26" s="26" t="s">
        <v>204</v>
      </c>
      <c r="K26" s="27">
        <f t="shared" si="3"/>
        <v>25000</v>
      </c>
      <c r="L26" s="26" t="s">
        <v>205</v>
      </c>
      <c r="M26" s="26" t="s">
        <v>206</v>
      </c>
      <c r="N26" s="26" t="s">
        <v>207</v>
      </c>
      <c r="O26" s="27">
        <v>19.0</v>
      </c>
      <c r="P26" s="27">
        <v>47.46</v>
      </c>
      <c r="Q26" s="27">
        <v>474.6</v>
      </c>
      <c r="R26" s="27">
        <v>2847751.92</v>
      </c>
      <c r="S26" s="27">
        <v>665000.0</v>
      </c>
      <c r="T26" s="27">
        <f t="shared" si="4"/>
        <v>3512751.92</v>
      </c>
      <c r="U26" s="27">
        <v>800000.0</v>
      </c>
      <c r="V26" s="27">
        <f t="shared" si="9"/>
        <v>1488000</v>
      </c>
      <c r="W26" s="27">
        <f t="shared" si="5"/>
        <v>2024751.92</v>
      </c>
      <c r="X26" s="29">
        <v>688000.0</v>
      </c>
      <c r="Y26" s="29">
        <v>109929.96</v>
      </c>
      <c r="Z26" s="29">
        <v>9842.86</v>
      </c>
      <c r="AA26" s="29">
        <v>78163.6</v>
      </c>
      <c r="AB26" s="29">
        <v>133328.0</v>
      </c>
      <c r="AC26" s="29">
        <f t="shared" si="6"/>
        <v>211491.6</v>
      </c>
      <c r="AD26" s="29">
        <v>8623.18</v>
      </c>
      <c r="AE26" s="29">
        <v>189803.92</v>
      </c>
      <c r="AF26" s="29">
        <v>0.0</v>
      </c>
      <c r="AG26" s="29">
        <f t="shared" si="7"/>
        <v>198427.1</v>
      </c>
      <c r="AH26" s="27">
        <v>88214.83</v>
      </c>
      <c r="AI26" s="27">
        <f t="shared" si="8"/>
        <v>2112966.75</v>
      </c>
    </row>
    <row r="27" ht="13.5" customHeight="1">
      <c r="A27" s="30">
        <v>24.0</v>
      </c>
      <c r="B27" s="31" t="s">
        <v>208</v>
      </c>
      <c r="C27" s="32">
        <v>5.5</v>
      </c>
      <c r="D27" s="32">
        <v>18.0</v>
      </c>
      <c r="E27" s="32">
        <f t="shared" si="1"/>
        <v>3.272727273</v>
      </c>
      <c r="F27" s="32">
        <f t="shared" si="2"/>
        <v>327.2727273</v>
      </c>
      <c r="G27" s="33">
        <v>21.0</v>
      </c>
      <c r="H27" s="31" t="s">
        <v>72</v>
      </c>
      <c r="I27" s="31" t="s">
        <v>160</v>
      </c>
      <c r="J27" s="31" t="s">
        <v>189</v>
      </c>
      <c r="K27" s="32">
        <f t="shared" si="3"/>
        <v>25000</v>
      </c>
      <c r="L27" s="31" t="s">
        <v>190</v>
      </c>
      <c r="M27" s="31" t="s">
        <v>191</v>
      </c>
      <c r="N27" s="31" t="s">
        <v>192</v>
      </c>
      <c r="O27" s="32">
        <v>11.0</v>
      </c>
      <c r="P27" s="32">
        <v>47.46</v>
      </c>
      <c r="Q27" s="32">
        <v>261.0</v>
      </c>
      <c r="R27" s="32">
        <v>1566263.56</v>
      </c>
      <c r="S27" s="32">
        <v>385000.0</v>
      </c>
      <c r="T27" s="32">
        <f t="shared" si="4"/>
        <v>1951263.56</v>
      </c>
      <c r="U27" s="32">
        <v>450000.0</v>
      </c>
      <c r="V27" s="32">
        <f t="shared" si="9"/>
        <v>837000</v>
      </c>
      <c r="W27" s="32">
        <f t="shared" si="5"/>
        <v>1114263.56</v>
      </c>
      <c r="X27" s="29">
        <v>387000.0</v>
      </c>
      <c r="Y27" s="29">
        <v>59152.95</v>
      </c>
      <c r="Z27" s="29">
        <v>5336.54</v>
      </c>
      <c r="AA27" s="29">
        <v>57967.68</v>
      </c>
      <c r="AB27" s="29">
        <v>74997.0</v>
      </c>
      <c r="AC27" s="29">
        <f t="shared" si="6"/>
        <v>132964.68</v>
      </c>
      <c r="AD27" s="29">
        <v>4796.66</v>
      </c>
      <c r="AE27" s="29">
        <v>104181.44</v>
      </c>
      <c r="AF27" s="29">
        <v>0.0</v>
      </c>
      <c r="AG27" s="29">
        <f t="shared" si="7"/>
        <v>108978.1</v>
      </c>
      <c r="AH27" s="32">
        <v>49108.71</v>
      </c>
      <c r="AI27" s="32">
        <f t="shared" si="8"/>
        <v>1163372.27</v>
      </c>
    </row>
    <row r="28" ht="13.5" customHeight="1">
      <c r="A28" s="25">
        <v>25.0</v>
      </c>
      <c r="B28" s="26" t="s">
        <v>209</v>
      </c>
      <c r="C28" s="27">
        <v>6.35</v>
      </c>
      <c r="D28" s="27">
        <v>5.0</v>
      </c>
      <c r="E28" s="27">
        <f t="shared" si="1"/>
        <v>0.7874015748</v>
      </c>
      <c r="F28" s="27">
        <f t="shared" si="2"/>
        <v>78.74015748</v>
      </c>
      <c r="G28" s="28">
        <v>21.0</v>
      </c>
      <c r="H28" s="26" t="s">
        <v>80</v>
      </c>
      <c r="I28" s="26" t="s">
        <v>94</v>
      </c>
      <c r="J28" s="26" t="s">
        <v>210</v>
      </c>
      <c r="K28" s="27">
        <f t="shared" si="3"/>
        <v>25000</v>
      </c>
      <c r="L28" s="26" t="s">
        <v>211</v>
      </c>
      <c r="M28" s="26" t="s">
        <v>212</v>
      </c>
      <c r="N28" s="26" t="s">
        <v>213</v>
      </c>
      <c r="O28" s="27">
        <v>3.0</v>
      </c>
      <c r="P28" s="27">
        <v>41.81</v>
      </c>
      <c r="Q28" s="27">
        <v>265.5</v>
      </c>
      <c r="R28" s="27">
        <v>1592918.51</v>
      </c>
      <c r="S28" s="27">
        <v>105000.0</v>
      </c>
      <c r="T28" s="27">
        <f t="shared" si="4"/>
        <v>1697918.51</v>
      </c>
      <c r="U28" s="27">
        <v>125000.0</v>
      </c>
      <c r="V28" s="27">
        <f t="shared" si="9"/>
        <v>232500</v>
      </c>
      <c r="W28" s="27">
        <f t="shared" si="5"/>
        <v>1465418.51</v>
      </c>
      <c r="X28" s="29">
        <v>107500.0</v>
      </c>
      <c r="Y28" s="29">
        <v>149546.85</v>
      </c>
      <c r="Z28" s="29">
        <v>10944.75</v>
      </c>
      <c r="AA28" s="29">
        <v>62286.14</v>
      </c>
      <c r="AB28" s="29">
        <v>20832.5</v>
      </c>
      <c r="AC28" s="29">
        <f t="shared" si="6"/>
        <v>83118.64</v>
      </c>
      <c r="AD28" s="29">
        <v>3410.99</v>
      </c>
      <c r="AE28" s="29">
        <v>128595.96</v>
      </c>
      <c r="AF28" s="29">
        <v>0.0</v>
      </c>
      <c r="AG28" s="29">
        <f t="shared" si="7"/>
        <v>132006.95</v>
      </c>
      <c r="AH28" s="27">
        <v>20027.64</v>
      </c>
      <c r="AI28" s="27">
        <f t="shared" si="8"/>
        <v>1485446.15</v>
      </c>
    </row>
    <row r="29" ht="13.5" customHeight="1">
      <c r="A29" s="30">
        <v>26.0</v>
      </c>
      <c r="B29" s="31" t="s">
        <v>214</v>
      </c>
      <c r="C29" s="32">
        <v>3.6</v>
      </c>
      <c r="D29" s="32">
        <v>15.0</v>
      </c>
      <c r="E29" s="32">
        <f t="shared" si="1"/>
        <v>4.166666667</v>
      </c>
      <c r="F29" s="32">
        <f t="shared" si="2"/>
        <v>416.6666667</v>
      </c>
      <c r="G29" s="33">
        <v>21.0</v>
      </c>
      <c r="H29" s="31" t="s">
        <v>72</v>
      </c>
      <c r="I29" s="31" t="s">
        <v>160</v>
      </c>
      <c r="J29" s="31" t="s">
        <v>215</v>
      </c>
      <c r="K29" s="32">
        <f t="shared" si="3"/>
        <v>25000</v>
      </c>
      <c r="L29" s="31" t="s">
        <v>216</v>
      </c>
      <c r="M29" s="31" t="s">
        <v>217</v>
      </c>
      <c r="N29" s="31" t="s">
        <v>218</v>
      </c>
      <c r="O29" s="32">
        <v>9.0</v>
      </c>
      <c r="P29" s="32">
        <v>46.97</v>
      </c>
      <c r="Q29" s="32">
        <v>169.1</v>
      </c>
      <c r="R29" s="32">
        <v>1014511.62</v>
      </c>
      <c r="S29" s="32">
        <v>315000.0</v>
      </c>
      <c r="T29" s="32">
        <f t="shared" si="4"/>
        <v>1329511.62</v>
      </c>
      <c r="U29" s="32">
        <v>375000.0</v>
      </c>
      <c r="V29" s="32">
        <f t="shared" si="9"/>
        <v>706875</v>
      </c>
      <c r="W29" s="32">
        <f t="shared" si="5"/>
        <v>622636.62</v>
      </c>
      <c r="X29" s="29">
        <v>331875.0</v>
      </c>
      <c r="Y29" s="29">
        <v>29793.02</v>
      </c>
      <c r="Z29" s="29">
        <v>2967.56</v>
      </c>
      <c r="AA29" s="29">
        <v>46898.16</v>
      </c>
      <c r="AB29" s="29">
        <v>62497.5</v>
      </c>
      <c r="AC29" s="29">
        <f t="shared" si="6"/>
        <v>109395.66</v>
      </c>
      <c r="AD29" s="29">
        <v>3535.45</v>
      </c>
      <c r="AE29" s="29">
        <v>66644.33</v>
      </c>
      <c r="AF29" s="29">
        <v>0.0</v>
      </c>
      <c r="AG29" s="29">
        <f t="shared" si="7"/>
        <v>70179.78</v>
      </c>
      <c r="AH29" s="32">
        <v>35795.24</v>
      </c>
      <c r="AI29" s="32">
        <f t="shared" si="8"/>
        <v>658431.86</v>
      </c>
    </row>
    <row r="30" ht="13.5" customHeight="1">
      <c r="A30" s="25">
        <v>27.0</v>
      </c>
      <c r="B30" s="26" t="s">
        <v>219</v>
      </c>
      <c r="C30" s="27">
        <v>10.0</v>
      </c>
      <c r="D30" s="27">
        <v>29.0</v>
      </c>
      <c r="E30" s="27">
        <f t="shared" si="1"/>
        <v>2.9</v>
      </c>
      <c r="F30" s="27">
        <f t="shared" si="2"/>
        <v>290</v>
      </c>
      <c r="G30" s="28">
        <v>21.0</v>
      </c>
      <c r="H30" s="26" t="s">
        <v>80</v>
      </c>
      <c r="I30" s="26" t="s">
        <v>94</v>
      </c>
      <c r="J30" s="26" t="s">
        <v>220</v>
      </c>
      <c r="K30" s="27">
        <f t="shared" si="3"/>
        <v>25000</v>
      </c>
      <c r="L30" s="26" t="s">
        <v>221</v>
      </c>
      <c r="M30" s="26" t="s">
        <v>222</v>
      </c>
      <c r="N30" s="26" t="s">
        <v>223</v>
      </c>
      <c r="O30" s="27">
        <v>17.0</v>
      </c>
      <c r="P30" s="27">
        <v>45.09</v>
      </c>
      <c r="Q30" s="27">
        <v>450.9</v>
      </c>
      <c r="R30" s="27">
        <v>2705364.32</v>
      </c>
      <c r="S30" s="27">
        <v>595000.0</v>
      </c>
      <c r="T30" s="27">
        <f t="shared" si="4"/>
        <v>3300364.32</v>
      </c>
      <c r="U30" s="27">
        <v>725000.0</v>
      </c>
      <c r="V30" s="27">
        <f t="shared" si="9"/>
        <v>1348500</v>
      </c>
      <c r="W30" s="27">
        <f t="shared" si="5"/>
        <v>1951864.32</v>
      </c>
      <c r="X30" s="29">
        <v>623500.0</v>
      </c>
      <c r="Y30" s="29">
        <v>120409.87</v>
      </c>
      <c r="Z30" s="29">
        <v>10459.83</v>
      </c>
      <c r="AA30" s="29">
        <v>78163.6</v>
      </c>
      <c r="AB30" s="29">
        <v>120828.5</v>
      </c>
      <c r="AC30" s="29">
        <f t="shared" si="6"/>
        <v>198992.1</v>
      </c>
      <c r="AD30" s="29">
        <v>8218.86</v>
      </c>
      <c r="AE30" s="29">
        <v>191384.3</v>
      </c>
      <c r="AF30" s="29">
        <v>0.0</v>
      </c>
      <c r="AG30" s="29">
        <f t="shared" si="7"/>
        <v>199603.16</v>
      </c>
      <c r="AH30" s="27">
        <v>83485.04</v>
      </c>
      <c r="AI30" s="27">
        <f t="shared" si="8"/>
        <v>2035349.36</v>
      </c>
    </row>
    <row r="31" ht="13.5" customHeight="1">
      <c r="A31" s="30">
        <v>28.0</v>
      </c>
      <c r="B31" s="31" t="s">
        <v>224</v>
      </c>
      <c r="C31" s="32">
        <v>4.5</v>
      </c>
      <c r="D31" s="32">
        <v>9.0</v>
      </c>
      <c r="E31" s="32">
        <f t="shared" si="1"/>
        <v>2</v>
      </c>
      <c r="F31" s="32">
        <f t="shared" si="2"/>
        <v>200</v>
      </c>
      <c r="G31" s="33">
        <v>21.0</v>
      </c>
      <c r="H31" s="31" t="s">
        <v>72</v>
      </c>
      <c r="I31" s="31" t="s">
        <v>160</v>
      </c>
      <c r="J31" s="31" t="s">
        <v>161</v>
      </c>
      <c r="K31" s="32">
        <f t="shared" si="3"/>
        <v>25000</v>
      </c>
      <c r="L31" s="31" t="s">
        <v>162</v>
      </c>
      <c r="M31" s="31" t="s">
        <v>163</v>
      </c>
      <c r="N31" s="31" t="s">
        <v>164</v>
      </c>
      <c r="O31" s="32">
        <v>5.0</v>
      </c>
      <c r="P31" s="32">
        <v>47.46</v>
      </c>
      <c r="Q31" s="32">
        <v>213.6</v>
      </c>
      <c r="R31" s="32">
        <v>1281488.36</v>
      </c>
      <c r="S31" s="32">
        <v>175000.0</v>
      </c>
      <c r="T31" s="32">
        <f t="shared" si="4"/>
        <v>1456488.36</v>
      </c>
      <c r="U31" s="32">
        <v>225000.0</v>
      </c>
      <c r="V31" s="32">
        <f t="shared" si="9"/>
        <v>418500</v>
      </c>
      <c r="W31" s="32">
        <f t="shared" si="5"/>
        <v>1037988.36</v>
      </c>
      <c r="X31" s="29">
        <v>193500.0</v>
      </c>
      <c r="Y31" s="29">
        <v>71702.58</v>
      </c>
      <c r="Z31" s="29">
        <v>5738.25</v>
      </c>
      <c r="AA31" s="29">
        <v>52433.74</v>
      </c>
      <c r="AB31" s="29">
        <v>37498.5</v>
      </c>
      <c r="AC31" s="29">
        <f t="shared" si="6"/>
        <v>89932.24</v>
      </c>
      <c r="AD31" s="29">
        <v>3152.65</v>
      </c>
      <c r="AE31" s="29">
        <v>88256.45</v>
      </c>
      <c r="AF31" s="29">
        <v>0.0</v>
      </c>
      <c r="AG31" s="29">
        <f t="shared" si="7"/>
        <v>91409.1</v>
      </c>
      <c r="AH31" s="32">
        <v>29662.0</v>
      </c>
      <c r="AI31" s="32">
        <f t="shared" si="8"/>
        <v>1067650.36</v>
      </c>
    </row>
    <row r="32" ht="13.5" customHeight="1">
      <c r="A32" s="25">
        <v>29.0</v>
      </c>
      <c r="B32" s="26" t="s">
        <v>225</v>
      </c>
      <c r="C32" s="27">
        <v>3.0</v>
      </c>
      <c r="D32" s="27">
        <v>6.0</v>
      </c>
      <c r="E32" s="27">
        <f t="shared" si="1"/>
        <v>2</v>
      </c>
      <c r="F32" s="27">
        <f t="shared" si="2"/>
        <v>200</v>
      </c>
      <c r="G32" s="28">
        <v>21.0</v>
      </c>
      <c r="H32" s="26" t="s">
        <v>72</v>
      </c>
      <c r="I32" s="26" t="s">
        <v>160</v>
      </c>
      <c r="J32" s="26" t="s">
        <v>161</v>
      </c>
      <c r="K32" s="27">
        <f t="shared" si="3"/>
        <v>25000</v>
      </c>
      <c r="L32" s="26" t="s">
        <v>162</v>
      </c>
      <c r="M32" s="26" t="s">
        <v>163</v>
      </c>
      <c r="N32" s="26" t="s">
        <v>164</v>
      </c>
      <c r="O32" s="27">
        <v>3.0</v>
      </c>
      <c r="P32" s="27">
        <v>47.46</v>
      </c>
      <c r="Q32" s="27">
        <v>142.4</v>
      </c>
      <c r="R32" s="27">
        <v>854325.58</v>
      </c>
      <c r="S32" s="27">
        <v>105000.0</v>
      </c>
      <c r="T32" s="27">
        <f t="shared" si="4"/>
        <v>959325.58</v>
      </c>
      <c r="U32" s="27">
        <v>150000.0</v>
      </c>
      <c r="V32" s="27">
        <f t="shared" si="9"/>
        <v>279000</v>
      </c>
      <c r="W32" s="27">
        <f t="shared" si="5"/>
        <v>680325.58</v>
      </c>
      <c r="X32" s="29">
        <v>129000.0</v>
      </c>
      <c r="Y32" s="29">
        <v>47801.72</v>
      </c>
      <c r="Z32" s="29">
        <v>3825.5</v>
      </c>
      <c r="AA32" s="29">
        <v>42811.97</v>
      </c>
      <c r="AB32" s="29">
        <v>24999.0</v>
      </c>
      <c r="AC32" s="29">
        <f t="shared" si="6"/>
        <v>67810.97</v>
      </c>
      <c r="AD32" s="29">
        <v>2101.77</v>
      </c>
      <c r="AE32" s="29">
        <v>58837.63</v>
      </c>
      <c r="AF32" s="29">
        <v>0.0</v>
      </c>
      <c r="AG32" s="29">
        <f t="shared" si="7"/>
        <v>60939.4</v>
      </c>
      <c r="AH32" s="27">
        <v>19774.67</v>
      </c>
      <c r="AI32" s="27">
        <f t="shared" si="8"/>
        <v>700100.25</v>
      </c>
    </row>
    <row r="33" ht="13.5" customHeight="1">
      <c r="A33" s="30">
        <v>30.0</v>
      </c>
      <c r="B33" s="31" t="s">
        <v>226</v>
      </c>
      <c r="C33" s="32">
        <v>3.55</v>
      </c>
      <c r="D33" s="32">
        <v>7.0</v>
      </c>
      <c r="E33" s="32">
        <f t="shared" si="1"/>
        <v>1.971830986</v>
      </c>
      <c r="F33" s="32">
        <f t="shared" si="2"/>
        <v>197.1830986</v>
      </c>
      <c r="G33" s="33">
        <v>21.0</v>
      </c>
      <c r="H33" s="31" t="s">
        <v>72</v>
      </c>
      <c r="I33" s="31" t="s">
        <v>160</v>
      </c>
      <c r="J33" s="31" t="s">
        <v>161</v>
      </c>
      <c r="K33" s="32">
        <f t="shared" si="3"/>
        <v>25000</v>
      </c>
      <c r="L33" s="31" t="s">
        <v>162</v>
      </c>
      <c r="M33" s="31" t="s">
        <v>163</v>
      </c>
      <c r="N33" s="31" t="s">
        <v>164</v>
      </c>
      <c r="O33" s="32">
        <v>4.0</v>
      </c>
      <c r="P33" s="32">
        <v>47.38</v>
      </c>
      <c r="Q33" s="32">
        <v>168.2</v>
      </c>
      <c r="R33" s="32">
        <v>1009243.28</v>
      </c>
      <c r="S33" s="32">
        <v>140000.0</v>
      </c>
      <c r="T33" s="32">
        <f t="shared" si="4"/>
        <v>1149243.28</v>
      </c>
      <c r="U33" s="32">
        <v>175000.0</v>
      </c>
      <c r="V33" s="32">
        <f t="shared" si="9"/>
        <v>325500</v>
      </c>
      <c r="W33" s="32">
        <f t="shared" si="5"/>
        <v>823743.28</v>
      </c>
      <c r="X33" s="29">
        <v>150500.0</v>
      </c>
      <c r="Y33" s="29">
        <v>57072.11</v>
      </c>
      <c r="Z33" s="29">
        <v>4556.68</v>
      </c>
      <c r="AA33" s="29">
        <v>46571.34</v>
      </c>
      <c r="AB33" s="29">
        <v>29165.5</v>
      </c>
      <c r="AC33" s="29">
        <f t="shared" si="6"/>
        <v>75736.84</v>
      </c>
      <c r="AD33" s="29">
        <v>2473.62</v>
      </c>
      <c r="AE33" s="29">
        <v>69677.21</v>
      </c>
      <c r="AF33" s="29">
        <v>0.0</v>
      </c>
      <c r="AG33" s="29">
        <f t="shared" si="7"/>
        <v>72150.83</v>
      </c>
      <c r="AH33" s="32">
        <v>23171.32</v>
      </c>
      <c r="AI33" s="32">
        <f t="shared" si="8"/>
        <v>846914.6</v>
      </c>
    </row>
    <row r="34" ht="13.5" customHeight="1">
      <c r="A34" s="25">
        <v>31.0</v>
      </c>
      <c r="B34" s="26" t="s">
        <v>227</v>
      </c>
      <c r="C34" s="27">
        <v>4.81</v>
      </c>
      <c r="D34" s="27">
        <v>10.0</v>
      </c>
      <c r="E34" s="27">
        <f t="shared" si="1"/>
        <v>2.079002079</v>
      </c>
      <c r="F34" s="27">
        <f t="shared" si="2"/>
        <v>207.9002079</v>
      </c>
      <c r="G34" s="28">
        <v>21.0</v>
      </c>
      <c r="H34" s="26" t="s">
        <v>72</v>
      </c>
      <c r="I34" s="26" t="s">
        <v>160</v>
      </c>
      <c r="J34" s="26" t="s">
        <v>228</v>
      </c>
      <c r="K34" s="27">
        <f t="shared" si="3"/>
        <v>25000</v>
      </c>
      <c r="L34" s="26" t="s">
        <v>229</v>
      </c>
      <c r="M34" s="26" t="s">
        <v>230</v>
      </c>
      <c r="N34" s="26" t="s">
        <v>231</v>
      </c>
      <c r="O34" s="27">
        <v>6.0</v>
      </c>
      <c r="P34" s="27">
        <v>47.46</v>
      </c>
      <c r="Q34" s="27">
        <v>228.3</v>
      </c>
      <c r="R34" s="27">
        <v>1369768.67</v>
      </c>
      <c r="S34" s="27">
        <v>210000.0</v>
      </c>
      <c r="T34" s="27">
        <f t="shared" si="4"/>
        <v>1579768.67</v>
      </c>
      <c r="U34" s="27">
        <v>250000.0</v>
      </c>
      <c r="V34" s="27">
        <f t="shared" si="9"/>
        <v>465000</v>
      </c>
      <c r="W34" s="27">
        <f t="shared" si="5"/>
        <v>1114768.67</v>
      </c>
      <c r="X34" s="29">
        <v>215000.0</v>
      </c>
      <c r="Y34" s="29">
        <v>74752.22</v>
      </c>
      <c r="Z34" s="29">
        <v>6022.3</v>
      </c>
      <c r="AA34" s="29">
        <v>54209.71</v>
      </c>
      <c r="AB34" s="29">
        <v>41665.0</v>
      </c>
      <c r="AC34" s="29">
        <f t="shared" si="6"/>
        <v>95874.71</v>
      </c>
      <c r="AD34" s="29">
        <v>3421.05</v>
      </c>
      <c r="AE34" s="29">
        <v>94136.15</v>
      </c>
      <c r="AF34" s="29">
        <v>0.0</v>
      </c>
      <c r="AG34" s="29">
        <f t="shared" si="7"/>
        <v>97557.2</v>
      </c>
      <c r="AH34" s="27">
        <v>32558.32</v>
      </c>
      <c r="AI34" s="27">
        <f t="shared" si="8"/>
        <v>1147326.99</v>
      </c>
    </row>
    <row r="35" ht="13.5" customHeight="1">
      <c r="A35" s="30">
        <v>32.0</v>
      </c>
      <c r="B35" s="31" t="s">
        <v>232</v>
      </c>
      <c r="C35" s="32">
        <v>4.8</v>
      </c>
      <c r="D35" s="32">
        <v>10.0</v>
      </c>
      <c r="E35" s="32">
        <f t="shared" si="1"/>
        <v>2.083333333</v>
      </c>
      <c r="F35" s="32">
        <f t="shared" si="2"/>
        <v>208.3333333</v>
      </c>
      <c r="G35" s="33">
        <v>21.0</v>
      </c>
      <c r="H35" s="31" t="s">
        <v>72</v>
      </c>
      <c r="I35" s="31" t="s">
        <v>160</v>
      </c>
      <c r="J35" s="31" t="s">
        <v>228</v>
      </c>
      <c r="K35" s="32">
        <f t="shared" si="3"/>
        <v>25000</v>
      </c>
      <c r="L35" s="31" t="s">
        <v>229</v>
      </c>
      <c r="M35" s="31" t="s">
        <v>230</v>
      </c>
      <c r="N35" s="31" t="s">
        <v>231</v>
      </c>
      <c r="O35" s="32">
        <v>6.0</v>
      </c>
      <c r="P35" s="32">
        <v>47.46</v>
      </c>
      <c r="Q35" s="32">
        <v>227.8</v>
      </c>
      <c r="R35" s="32">
        <v>1366920.92</v>
      </c>
      <c r="S35" s="32">
        <v>210000.0</v>
      </c>
      <c r="T35" s="32">
        <f t="shared" si="4"/>
        <v>1576920.92</v>
      </c>
      <c r="U35" s="32">
        <v>250000.0</v>
      </c>
      <c r="V35" s="32">
        <f t="shared" si="9"/>
        <v>465000</v>
      </c>
      <c r="W35" s="32">
        <f t="shared" si="5"/>
        <v>1111920.92</v>
      </c>
      <c r="X35" s="29">
        <v>215000.0</v>
      </c>
      <c r="Y35" s="29">
        <v>74494.91</v>
      </c>
      <c r="Z35" s="29">
        <v>6003.78</v>
      </c>
      <c r="AA35" s="29">
        <v>54153.33</v>
      </c>
      <c r="AB35" s="29">
        <v>41665.0</v>
      </c>
      <c r="AC35" s="29">
        <f t="shared" si="6"/>
        <v>95818.33</v>
      </c>
      <c r="AD35" s="29">
        <v>3416.74</v>
      </c>
      <c r="AE35" s="29">
        <v>93929.49</v>
      </c>
      <c r="AF35" s="29">
        <v>0.0</v>
      </c>
      <c r="AG35" s="29">
        <f t="shared" si="7"/>
        <v>97346.23</v>
      </c>
      <c r="AH35" s="32">
        <v>32536.62</v>
      </c>
      <c r="AI35" s="32">
        <f t="shared" si="8"/>
        <v>1144457.54</v>
      </c>
    </row>
    <row r="36" ht="13.5" customHeight="1">
      <c r="A36" s="25">
        <v>33.0</v>
      </c>
      <c r="B36" s="26" t="s">
        <v>233</v>
      </c>
      <c r="C36" s="27">
        <v>3.45</v>
      </c>
      <c r="D36" s="27">
        <v>7.0</v>
      </c>
      <c r="E36" s="27">
        <f t="shared" si="1"/>
        <v>2.028985507</v>
      </c>
      <c r="F36" s="27">
        <f t="shared" si="2"/>
        <v>202.8985507</v>
      </c>
      <c r="G36" s="28">
        <v>21.0</v>
      </c>
      <c r="H36" s="26" t="s">
        <v>72</v>
      </c>
      <c r="I36" s="26" t="s">
        <v>160</v>
      </c>
      <c r="J36" s="26" t="s">
        <v>234</v>
      </c>
      <c r="K36" s="27">
        <f t="shared" si="3"/>
        <v>25000</v>
      </c>
      <c r="L36" s="26" t="s">
        <v>235</v>
      </c>
      <c r="M36" s="26" t="s">
        <v>236</v>
      </c>
      <c r="N36" s="26" t="s">
        <v>237</v>
      </c>
      <c r="O36" s="27">
        <v>4.0</v>
      </c>
      <c r="P36" s="27">
        <v>47.46</v>
      </c>
      <c r="Q36" s="27">
        <v>163.7</v>
      </c>
      <c r="R36" s="27">
        <v>982474.41</v>
      </c>
      <c r="S36" s="27">
        <v>140000.0</v>
      </c>
      <c r="T36" s="27">
        <f t="shared" si="4"/>
        <v>1122474.41</v>
      </c>
      <c r="U36" s="27">
        <v>175000.0</v>
      </c>
      <c r="V36" s="27">
        <f t="shared" si="9"/>
        <v>325500</v>
      </c>
      <c r="W36" s="27">
        <f t="shared" si="5"/>
        <v>796974.41</v>
      </c>
      <c r="X36" s="29">
        <v>150500.0</v>
      </c>
      <c r="Y36" s="29">
        <v>54470.29</v>
      </c>
      <c r="Z36" s="29">
        <v>4369.79</v>
      </c>
      <c r="AA36" s="29">
        <v>45910.72</v>
      </c>
      <c r="AB36" s="29">
        <v>29165.5</v>
      </c>
      <c r="AC36" s="29">
        <f t="shared" si="6"/>
        <v>75076.22</v>
      </c>
      <c r="AD36" s="29">
        <v>2430.51</v>
      </c>
      <c r="AE36" s="29">
        <v>67610.6</v>
      </c>
      <c r="AF36" s="29">
        <v>0.0</v>
      </c>
      <c r="AG36" s="29">
        <f t="shared" si="7"/>
        <v>70041.11</v>
      </c>
      <c r="AH36" s="27">
        <v>22967.29</v>
      </c>
      <c r="AI36" s="27">
        <f t="shared" si="8"/>
        <v>819941.7</v>
      </c>
    </row>
    <row r="37" ht="13.5" customHeight="1">
      <c r="A37" s="30">
        <v>34.0</v>
      </c>
      <c r="B37" s="31" t="s">
        <v>238</v>
      </c>
      <c r="C37" s="32">
        <v>4.44</v>
      </c>
      <c r="D37" s="32">
        <v>9.0</v>
      </c>
      <c r="E37" s="32">
        <f t="shared" si="1"/>
        <v>2.027027027</v>
      </c>
      <c r="F37" s="32">
        <f t="shared" si="2"/>
        <v>202.7027027</v>
      </c>
      <c r="G37" s="33">
        <v>21.0</v>
      </c>
      <c r="H37" s="31" t="s">
        <v>72</v>
      </c>
      <c r="I37" s="31" t="s">
        <v>160</v>
      </c>
      <c r="J37" s="31" t="s">
        <v>161</v>
      </c>
      <c r="K37" s="32">
        <f t="shared" si="3"/>
        <v>25000</v>
      </c>
      <c r="L37" s="31" t="s">
        <v>162</v>
      </c>
      <c r="M37" s="31" t="s">
        <v>163</v>
      </c>
      <c r="N37" s="31" t="s">
        <v>164</v>
      </c>
      <c r="O37" s="32">
        <v>5.0</v>
      </c>
      <c r="P37" s="32">
        <v>47.46</v>
      </c>
      <c r="Q37" s="32">
        <v>210.7</v>
      </c>
      <c r="R37" s="32">
        <v>1264401.85</v>
      </c>
      <c r="S37" s="32">
        <v>175000.0</v>
      </c>
      <c r="T37" s="32">
        <f t="shared" si="4"/>
        <v>1439401.85</v>
      </c>
      <c r="U37" s="32">
        <v>225000.0</v>
      </c>
      <c r="V37" s="32">
        <f t="shared" si="9"/>
        <v>418500</v>
      </c>
      <c r="W37" s="32">
        <f t="shared" si="5"/>
        <v>1020901.85</v>
      </c>
      <c r="X37" s="29">
        <v>193500.0</v>
      </c>
      <c r="Y37" s="29">
        <v>70144.31</v>
      </c>
      <c r="Z37" s="29">
        <v>5626.29</v>
      </c>
      <c r="AA37" s="29">
        <v>52083.0</v>
      </c>
      <c r="AB37" s="29">
        <v>37498.5</v>
      </c>
      <c r="AC37" s="29">
        <f t="shared" si="6"/>
        <v>89581.5</v>
      </c>
      <c r="AD37" s="29">
        <v>3126.79</v>
      </c>
      <c r="AE37" s="29">
        <v>87016.48</v>
      </c>
      <c r="AF37" s="29">
        <v>0.0</v>
      </c>
      <c r="AG37" s="29">
        <f t="shared" si="7"/>
        <v>90143.27</v>
      </c>
      <c r="AH37" s="32">
        <v>29538.31</v>
      </c>
      <c r="AI37" s="32">
        <f t="shared" si="8"/>
        <v>1050440.16</v>
      </c>
    </row>
    <row r="38" ht="13.5" customHeight="1">
      <c r="A38" s="25">
        <v>35.0</v>
      </c>
      <c r="B38" s="26" t="s">
        <v>239</v>
      </c>
      <c r="C38" s="27">
        <v>4.43</v>
      </c>
      <c r="D38" s="27">
        <v>9.0</v>
      </c>
      <c r="E38" s="27">
        <f t="shared" si="1"/>
        <v>2.031602709</v>
      </c>
      <c r="F38" s="27">
        <f t="shared" si="2"/>
        <v>203.1602709</v>
      </c>
      <c r="G38" s="28">
        <v>21.0</v>
      </c>
      <c r="H38" s="26" t="s">
        <v>72</v>
      </c>
      <c r="I38" s="26" t="s">
        <v>160</v>
      </c>
      <c r="J38" s="26" t="s">
        <v>161</v>
      </c>
      <c r="K38" s="27">
        <f t="shared" si="3"/>
        <v>25000</v>
      </c>
      <c r="L38" s="26" t="s">
        <v>162</v>
      </c>
      <c r="M38" s="26" t="s">
        <v>163</v>
      </c>
      <c r="N38" s="26" t="s">
        <v>164</v>
      </c>
      <c r="O38" s="27">
        <v>5.0</v>
      </c>
      <c r="P38" s="27">
        <v>47.46</v>
      </c>
      <c r="Q38" s="27">
        <v>210.3</v>
      </c>
      <c r="R38" s="27">
        <v>1261554.1</v>
      </c>
      <c r="S38" s="27">
        <v>175000.0</v>
      </c>
      <c r="T38" s="27">
        <f t="shared" si="4"/>
        <v>1436554.1</v>
      </c>
      <c r="U38" s="27">
        <v>225000.0</v>
      </c>
      <c r="V38" s="27">
        <f t="shared" si="9"/>
        <v>418500</v>
      </c>
      <c r="W38" s="27">
        <f t="shared" si="5"/>
        <v>1018054.1</v>
      </c>
      <c r="X38" s="29">
        <v>193500.0</v>
      </c>
      <c r="Y38" s="29">
        <v>69885.16</v>
      </c>
      <c r="Z38" s="29">
        <v>5607.66</v>
      </c>
      <c r="AA38" s="29">
        <v>52024.32</v>
      </c>
      <c r="AB38" s="29">
        <v>37498.5</v>
      </c>
      <c r="AC38" s="29">
        <f t="shared" si="6"/>
        <v>89522.82</v>
      </c>
      <c r="AD38" s="29">
        <v>3122.48</v>
      </c>
      <c r="AE38" s="29">
        <v>86809.82</v>
      </c>
      <c r="AF38" s="29">
        <v>0.0</v>
      </c>
      <c r="AG38" s="29">
        <f t="shared" si="7"/>
        <v>89932.3</v>
      </c>
      <c r="AH38" s="27">
        <v>29517.44</v>
      </c>
      <c r="AI38" s="27">
        <f t="shared" si="8"/>
        <v>1047571.54</v>
      </c>
    </row>
    <row r="39" ht="13.5" customHeight="1">
      <c r="A39" s="30">
        <v>36.0</v>
      </c>
      <c r="B39" s="31" t="s">
        <v>240</v>
      </c>
      <c r="C39" s="32">
        <v>3.77</v>
      </c>
      <c r="D39" s="32">
        <v>8.0</v>
      </c>
      <c r="E39" s="32">
        <f t="shared" si="1"/>
        <v>2.122015915</v>
      </c>
      <c r="F39" s="32">
        <f t="shared" si="2"/>
        <v>212.2015915</v>
      </c>
      <c r="G39" s="33">
        <v>21.0</v>
      </c>
      <c r="H39" s="31" t="s">
        <v>72</v>
      </c>
      <c r="I39" s="31" t="s">
        <v>160</v>
      </c>
      <c r="J39" s="31" t="s">
        <v>161</v>
      </c>
      <c r="K39" s="32">
        <f t="shared" si="3"/>
        <v>25000</v>
      </c>
      <c r="L39" s="31" t="s">
        <v>162</v>
      </c>
      <c r="M39" s="31" t="s">
        <v>163</v>
      </c>
      <c r="N39" s="31" t="s">
        <v>164</v>
      </c>
      <c r="O39" s="32">
        <v>4.0</v>
      </c>
      <c r="P39" s="32">
        <v>47.46</v>
      </c>
      <c r="Q39" s="32">
        <v>178.9</v>
      </c>
      <c r="R39" s="32">
        <v>1073602.47</v>
      </c>
      <c r="S39" s="32">
        <v>140000.0</v>
      </c>
      <c r="T39" s="32">
        <f t="shared" si="4"/>
        <v>1213602.47</v>
      </c>
      <c r="U39" s="32">
        <v>200000.0</v>
      </c>
      <c r="V39" s="32">
        <f t="shared" si="9"/>
        <v>372000</v>
      </c>
      <c r="W39" s="32">
        <f t="shared" si="5"/>
        <v>841602.47</v>
      </c>
      <c r="X39" s="29">
        <v>172000.0</v>
      </c>
      <c r="Y39" s="29">
        <v>57800.14</v>
      </c>
      <c r="Z39" s="29">
        <v>4673.7</v>
      </c>
      <c r="AA39" s="29">
        <v>47992.7</v>
      </c>
      <c r="AB39" s="29">
        <v>33332.0</v>
      </c>
      <c r="AC39" s="29">
        <f t="shared" si="6"/>
        <v>81324.7</v>
      </c>
      <c r="AD39" s="29">
        <v>2703.22</v>
      </c>
      <c r="AE39" s="29">
        <v>73696.97</v>
      </c>
      <c r="AF39" s="29">
        <v>0.0</v>
      </c>
      <c r="AG39" s="29">
        <f t="shared" si="7"/>
        <v>76400.19</v>
      </c>
      <c r="AH39" s="32">
        <v>25874.97</v>
      </c>
      <c r="AI39" s="32">
        <f t="shared" si="8"/>
        <v>867477.44</v>
      </c>
    </row>
    <row r="40" ht="13.5" customHeight="1">
      <c r="G40" s="22"/>
    </row>
    <row r="41" ht="13.5" customHeight="1">
      <c r="G41" s="22"/>
    </row>
    <row r="42" ht="13.5" customHeight="1">
      <c r="G42" s="22"/>
    </row>
    <row r="43" ht="13.5" customHeight="1">
      <c r="G43" s="22"/>
    </row>
    <row r="44" ht="13.5" customHeight="1">
      <c r="G44" s="22"/>
    </row>
    <row r="45" ht="13.5" customHeight="1">
      <c r="G45" s="22"/>
    </row>
    <row r="46" ht="13.5" customHeight="1">
      <c r="G46" s="22"/>
    </row>
    <row r="47" ht="13.5" customHeight="1">
      <c r="G47" s="22"/>
    </row>
    <row r="48" ht="13.5" customHeight="1">
      <c r="G48" s="22"/>
    </row>
    <row r="49" ht="13.5" customHeight="1">
      <c r="G49" s="22"/>
    </row>
    <row r="50" ht="13.5" customHeight="1">
      <c r="G50" s="22"/>
    </row>
    <row r="51" ht="13.5" customHeight="1">
      <c r="G51" s="22"/>
    </row>
    <row r="52" ht="13.5" customHeight="1">
      <c r="G52" s="22"/>
    </row>
    <row r="53" ht="13.5" customHeight="1">
      <c r="G53" s="22"/>
    </row>
    <row r="54" ht="13.5" customHeight="1">
      <c r="G54" s="22"/>
    </row>
    <row r="55" ht="13.5" customHeight="1">
      <c r="G55" s="22"/>
    </row>
    <row r="56" ht="13.5" customHeight="1">
      <c r="G56" s="22"/>
    </row>
    <row r="57" ht="13.5" customHeight="1">
      <c r="G57" s="22"/>
    </row>
    <row r="58" ht="13.5" customHeight="1">
      <c r="G58" s="22"/>
    </row>
    <row r="59" ht="13.5" customHeight="1">
      <c r="G59" s="22"/>
    </row>
    <row r="60" ht="13.5" customHeight="1">
      <c r="G60" s="22"/>
    </row>
    <row r="61" ht="13.5" customHeight="1">
      <c r="G61" s="22"/>
    </row>
    <row r="62" ht="13.5" customHeight="1">
      <c r="G62" s="22"/>
    </row>
    <row r="63" ht="13.5" customHeight="1">
      <c r="G63" s="22"/>
    </row>
    <row r="64" ht="13.5" customHeight="1">
      <c r="G64" s="22"/>
    </row>
    <row r="65" ht="13.5" customHeight="1">
      <c r="G65" s="22"/>
    </row>
    <row r="66" ht="13.5" customHeight="1">
      <c r="G66" s="22"/>
    </row>
    <row r="67" ht="13.5" customHeight="1">
      <c r="G67" s="22"/>
    </row>
    <row r="68" ht="13.5" customHeight="1">
      <c r="G68" s="22"/>
    </row>
    <row r="69" ht="13.5" customHeight="1">
      <c r="G69" s="22"/>
    </row>
    <row r="70" ht="13.5" customHeight="1">
      <c r="G70" s="22"/>
    </row>
    <row r="71" ht="13.5" customHeight="1">
      <c r="G71" s="22"/>
    </row>
    <row r="72" ht="13.5" customHeight="1">
      <c r="G72" s="22"/>
    </row>
    <row r="73" ht="13.5" customHeight="1">
      <c r="G73" s="22"/>
    </row>
    <row r="74" ht="13.5" customHeight="1">
      <c r="G74" s="22"/>
    </row>
    <row r="75" ht="13.5" customHeight="1">
      <c r="G75" s="22"/>
    </row>
    <row r="76" ht="13.5" customHeight="1">
      <c r="G76" s="22"/>
    </row>
    <row r="77" ht="13.5" customHeight="1">
      <c r="G77" s="22"/>
    </row>
    <row r="78" ht="13.5" customHeight="1">
      <c r="G78" s="22"/>
    </row>
    <row r="79" ht="13.5" customHeight="1">
      <c r="G79" s="22"/>
    </row>
    <row r="80" ht="13.5" customHeight="1">
      <c r="G80" s="22"/>
    </row>
    <row r="81" ht="13.5" customHeight="1">
      <c r="G81" s="22"/>
    </row>
    <row r="82" ht="13.5" customHeight="1">
      <c r="G82" s="22"/>
    </row>
    <row r="83" ht="13.5" customHeight="1">
      <c r="G83" s="22"/>
    </row>
    <row r="84" ht="13.5" customHeight="1">
      <c r="G84" s="22"/>
    </row>
    <row r="85" ht="13.5" customHeight="1">
      <c r="G85" s="22"/>
    </row>
    <row r="86" ht="13.5" customHeight="1">
      <c r="G86" s="22"/>
    </row>
    <row r="87" ht="13.5" customHeight="1">
      <c r="G87" s="22"/>
    </row>
    <row r="88" ht="13.5" customHeight="1">
      <c r="G88" s="22"/>
    </row>
    <row r="89" ht="13.5" customHeight="1">
      <c r="G89" s="22"/>
    </row>
    <row r="90" ht="13.5" customHeight="1">
      <c r="G90" s="22"/>
    </row>
    <row r="91" ht="13.5" customHeight="1">
      <c r="G91" s="22"/>
    </row>
    <row r="92" ht="13.5" customHeight="1">
      <c r="G92" s="22"/>
    </row>
    <row r="93" ht="13.5" customHeight="1">
      <c r="G93" s="22"/>
    </row>
    <row r="94" ht="13.5" customHeight="1">
      <c r="G94" s="22"/>
    </row>
    <row r="95" ht="13.5" customHeight="1">
      <c r="G95" s="22"/>
    </row>
    <row r="96" ht="13.5" customHeight="1">
      <c r="G96" s="22"/>
    </row>
    <row r="97" ht="13.5" customHeight="1">
      <c r="G97" s="22"/>
    </row>
    <row r="98" ht="13.5" customHeight="1">
      <c r="G98" s="22"/>
    </row>
    <row r="99" ht="13.5" customHeight="1">
      <c r="G99" s="22"/>
    </row>
    <row r="100" ht="13.5" customHeight="1">
      <c r="G100" s="22"/>
    </row>
    <row r="101" ht="13.5" customHeight="1">
      <c r="G101" s="22"/>
    </row>
    <row r="102" ht="13.5" customHeight="1">
      <c r="G102" s="22"/>
    </row>
    <row r="103" ht="13.5" customHeight="1">
      <c r="G103" s="22"/>
    </row>
    <row r="104" ht="13.5" customHeight="1">
      <c r="G104" s="22"/>
    </row>
    <row r="105" ht="13.5" customHeight="1">
      <c r="G105" s="22"/>
    </row>
    <row r="106" ht="13.5" customHeight="1">
      <c r="G106" s="22"/>
    </row>
    <row r="107" ht="13.5" customHeight="1">
      <c r="G107" s="22"/>
    </row>
    <row r="108" ht="13.5" customHeight="1">
      <c r="G108" s="22"/>
    </row>
    <row r="109" ht="13.5" customHeight="1">
      <c r="G109" s="22"/>
    </row>
    <row r="110" ht="13.5" customHeight="1">
      <c r="G110" s="22"/>
    </row>
    <row r="111" ht="13.5" customHeight="1">
      <c r="G111" s="22"/>
    </row>
    <row r="112" ht="13.5" customHeight="1">
      <c r="G112" s="22"/>
    </row>
    <row r="113" ht="13.5" customHeight="1">
      <c r="G113" s="22"/>
    </row>
    <row r="114" ht="13.5" customHeight="1">
      <c r="G114" s="22"/>
    </row>
    <row r="115" ht="13.5" customHeight="1">
      <c r="G115" s="22"/>
    </row>
    <row r="116" ht="13.5" customHeight="1">
      <c r="G116" s="22"/>
    </row>
    <row r="117" ht="13.5" customHeight="1">
      <c r="G117" s="22"/>
    </row>
    <row r="118" ht="13.5" customHeight="1">
      <c r="G118" s="22"/>
    </row>
    <row r="119" ht="13.5" customHeight="1">
      <c r="G119" s="22"/>
    </row>
    <row r="120" ht="13.5" customHeight="1">
      <c r="G120" s="22"/>
    </row>
    <row r="121" ht="13.5" customHeight="1">
      <c r="G121" s="22"/>
    </row>
    <row r="122" ht="13.5" customHeight="1">
      <c r="G122" s="22"/>
    </row>
    <row r="123" ht="13.5" customHeight="1">
      <c r="G123" s="22"/>
    </row>
    <row r="124" ht="13.5" customHeight="1">
      <c r="G124" s="22"/>
    </row>
    <row r="125" ht="13.5" customHeight="1">
      <c r="G125" s="22"/>
    </row>
    <row r="126" ht="13.5" customHeight="1">
      <c r="G126" s="22"/>
    </row>
    <row r="127" ht="13.5" customHeight="1">
      <c r="G127" s="22"/>
    </row>
    <row r="128" ht="13.5" customHeight="1">
      <c r="G128" s="22"/>
    </row>
    <row r="129" ht="13.5" customHeight="1">
      <c r="G129" s="22"/>
    </row>
    <row r="130" ht="13.5" customHeight="1">
      <c r="G130" s="22"/>
    </row>
    <row r="131" ht="13.5" customHeight="1">
      <c r="G131" s="22"/>
    </row>
    <row r="132" ht="13.5" customHeight="1">
      <c r="G132" s="22"/>
    </row>
    <row r="133" ht="13.5" customHeight="1">
      <c r="G133" s="22"/>
    </row>
    <row r="134" ht="13.5" customHeight="1">
      <c r="G134" s="22"/>
    </row>
    <row r="135" ht="13.5" customHeight="1">
      <c r="G135" s="22"/>
    </row>
    <row r="136" ht="13.5" customHeight="1">
      <c r="G136" s="22"/>
    </row>
    <row r="137" ht="13.5" customHeight="1">
      <c r="G137" s="22"/>
    </row>
    <row r="138" ht="13.5" customHeight="1">
      <c r="G138" s="22"/>
    </row>
    <row r="139" ht="13.5" customHeight="1">
      <c r="G139" s="22"/>
    </row>
    <row r="140" ht="13.5" customHeight="1">
      <c r="G140" s="22"/>
    </row>
    <row r="141" ht="13.5" customHeight="1">
      <c r="G141" s="22"/>
    </row>
    <row r="142" ht="13.5" customHeight="1">
      <c r="G142" s="22"/>
    </row>
    <row r="143" ht="13.5" customHeight="1">
      <c r="G143" s="22"/>
    </row>
    <row r="144" ht="13.5" customHeight="1">
      <c r="G144" s="22"/>
    </row>
    <row r="145" ht="13.5" customHeight="1">
      <c r="G145" s="22"/>
    </row>
    <row r="146" ht="13.5" customHeight="1">
      <c r="G146" s="22"/>
    </row>
    <row r="147" ht="13.5" customHeight="1">
      <c r="G147" s="22"/>
    </row>
    <row r="148" ht="13.5" customHeight="1">
      <c r="G148" s="22"/>
    </row>
    <row r="149" ht="13.5" customHeight="1">
      <c r="G149" s="22"/>
    </row>
    <row r="150" ht="13.5" customHeight="1">
      <c r="G150" s="22"/>
    </row>
    <row r="151" ht="13.5" customHeight="1">
      <c r="G151" s="22"/>
    </row>
    <row r="152" ht="13.5" customHeight="1">
      <c r="G152" s="22"/>
    </row>
    <row r="153" ht="13.5" customHeight="1">
      <c r="G153" s="22"/>
    </row>
    <row r="154" ht="13.5" customHeight="1">
      <c r="G154" s="22"/>
    </row>
    <row r="155" ht="13.5" customHeight="1">
      <c r="G155" s="22"/>
    </row>
    <row r="156" ht="13.5" customHeight="1">
      <c r="G156" s="22"/>
    </row>
    <row r="157" ht="13.5" customHeight="1">
      <c r="G157" s="22"/>
    </row>
    <row r="158" ht="13.5" customHeight="1">
      <c r="G158" s="22"/>
    </row>
    <row r="159" ht="13.5" customHeight="1">
      <c r="G159" s="22"/>
    </row>
    <row r="160" ht="13.5" customHeight="1">
      <c r="G160" s="22"/>
    </row>
    <row r="161" ht="13.5" customHeight="1">
      <c r="G161" s="22"/>
    </row>
    <row r="162" ht="13.5" customHeight="1">
      <c r="G162" s="22"/>
    </row>
    <row r="163" ht="13.5" customHeight="1">
      <c r="G163" s="22"/>
    </row>
    <row r="164" ht="13.5" customHeight="1">
      <c r="G164" s="22"/>
    </row>
    <row r="165" ht="13.5" customHeight="1">
      <c r="G165" s="22"/>
    </row>
    <row r="166" ht="13.5" customHeight="1">
      <c r="G166" s="22"/>
    </row>
    <row r="167" ht="13.5" customHeight="1">
      <c r="G167" s="22"/>
    </row>
    <row r="168" ht="13.5" customHeight="1">
      <c r="G168" s="22"/>
    </row>
    <row r="169" ht="13.5" customHeight="1">
      <c r="G169" s="22"/>
    </row>
    <row r="170" ht="13.5" customHeight="1">
      <c r="G170" s="22"/>
    </row>
    <row r="171" ht="13.5" customHeight="1">
      <c r="G171" s="22"/>
    </row>
    <row r="172" ht="13.5" customHeight="1">
      <c r="G172" s="22"/>
    </row>
    <row r="173" ht="13.5" customHeight="1">
      <c r="G173" s="22"/>
    </row>
    <row r="174" ht="13.5" customHeight="1">
      <c r="G174" s="22"/>
    </row>
    <row r="175" ht="13.5" customHeight="1">
      <c r="G175" s="22"/>
    </row>
    <row r="176" ht="13.5" customHeight="1">
      <c r="G176" s="22"/>
    </row>
    <row r="177" ht="13.5" customHeight="1">
      <c r="G177" s="22"/>
    </row>
    <row r="178" ht="13.5" customHeight="1">
      <c r="G178" s="22"/>
    </row>
    <row r="179" ht="13.5" customHeight="1">
      <c r="G179" s="22"/>
    </row>
    <row r="180" ht="13.5" customHeight="1">
      <c r="G180" s="22"/>
    </row>
    <row r="181" ht="13.5" customHeight="1">
      <c r="G181" s="22"/>
    </row>
    <row r="182" ht="13.5" customHeight="1">
      <c r="G182" s="22"/>
    </row>
    <row r="183" ht="13.5" customHeight="1">
      <c r="G183" s="22"/>
    </row>
    <row r="184" ht="13.5" customHeight="1">
      <c r="G184" s="22"/>
    </row>
    <row r="185" ht="13.5" customHeight="1">
      <c r="G185" s="22"/>
    </row>
    <row r="186" ht="13.5" customHeight="1">
      <c r="G186" s="22"/>
    </row>
    <row r="187" ht="13.5" customHeight="1">
      <c r="G187" s="22"/>
    </row>
    <row r="188" ht="13.5" customHeight="1">
      <c r="G188" s="22"/>
    </row>
    <row r="189" ht="13.5" customHeight="1">
      <c r="G189" s="22"/>
    </row>
    <row r="190" ht="13.5" customHeight="1">
      <c r="G190" s="22"/>
    </row>
    <row r="191" ht="13.5" customHeight="1">
      <c r="G191" s="22"/>
    </row>
    <row r="192" ht="13.5" customHeight="1">
      <c r="G192" s="22"/>
    </row>
    <row r="193" ht="13.5" customHeight="1">
      <c r="G193" s="22"/>
    </row>
    <row r="194" ht="13.5" customHeight="1">
      <c r="G194" s="22"/>
    </row>
    <row r="195" ht="13.5" customHeight="1">
      <c r="G195" s="22"/>
    </row>
    <row r="196" ht="13.5" customHeight="1">
      <c r="G196" s="22"/>
    </row>
    <row r="197" ht="13.5" customHeight="1">
      <c r="G197" s="22"/>
    </row>
    <row r="198" ht="13.5" customHeight="1">
      <c r="G198" s="22"/>
    </row>
    <row r="199" ht="13.5" customHeight="1">
      <c r="G199" s="22"/>
    </row>
    <row r="200" ht="13.5" customHeight="1">
      <c r="G200" s="22"/>
    </row>
    <row r="201" ht="13.5" customHeight="1">
      <c r="G201" s="22"/>
    </row>
    <row r="202" ht="13.5" customHeight="1">
      <c r="G202" s="22"/>
    </row>
    <row r="203" ht="13.5" customHeight="1">
      <c r="G203" s="22"/>
    </row>
    <row r="204" ht="13.5" customHeight="1">
      <c r="G204" s="22"/>
    </row>
    <row r="205" ht="13.5" customHeight="1">
      <c r="G205" s="22"/>
    </row>
    <row r="206" ht="13.5" customHeight="1">
      <c r="G206" s="22"/>
    </row>
    <row r="207" ht="13.5" customHeight="1">
      <c r="G207" s="22"/>
    </row>
    <row r="208" ht="13.5" customHeight="1">
      <c r="G208" s="22"/>
    </row>
    <row r="209" ht="13.5" customHeight="1">
      <c r="G209" s="22"/>
    </row>
    <row r="210" ht="13.5" customHeight="1">
      <c r="G210" s="22"/>
    </row>
    <row r="211" ht="13.5" customHeight="1">
      <c r="G211" s="22"/>
    </row>
    <row r="212" ht="13.5" customHeight="1">
      <c r="G212" s="22"/>
    </row>
    <row r="213" ht="13.5" customHeight="1">
      <c r="G213" s="22"/>
    </row>
    <row r="214" ht="13.5" customHeight="1">
      <c r="G214" s="22"/>
    </row>
    <row r="215" ht="13.5" customHeight="1">
      <c r="G215" s="22"/>
    </row>
    <row r="216" ht="13.5" customHeight="1">
      <c r="G216" s="22"/>
    </row>
    <row r="217" ht="13.5" customHeight="1">
      <c r="G217" s="22"/>
    </row>
    <row r="218" ht="13.5" customHeight="1">
      <c r="G218" s="22"/>
    </row>
    <row r="219" ht="13.5" customHeight="1">
      <c r="G219" s="22"/>
    </row>
    <row r="220" ht="13.5" customHeight="1">
      <c r="G220" s="22"/>
    </row>
    <row r="221" ht="13.5" customHeight="1">
      <c r="G221" s="22"/>
    </row>
    <row r="222" ht="13.5" customHeight="1">
      <c r="G222" s="22"/>
    </row>
    <row r="223" ht="13.5" customHeight="1">
      <c r="G223" s="22"/>
    </row>
    <row r="224" ht="13.5" customHeight="1">
      <c r="G224" s="22"/>
    </row>
    <row r="225" ht="13.5" customHeight="1">
      <c r="G225" s="22"/>
    </row>
    <row r="226" ht="13.5" customHeight="1">
      <c r="G226" s="22"/>
    </row>
    <row r="227" ht="13.5" customHeight="1">
      <c r="G227" s="22"/>
    </row>
    <row r="228" ht="13.5" customHeight="1">
      <c r="G228" s="22"/>
    </row>
    <row r="229" ht="13.5" customHeight="1">
      <c r="G229" s="22"/>
    </row>
    <row r="230" ht="13.5" customHeight="1">
      <c r="G230" s="22"/>
    </row>
    <row r="231" ht="13.5" customHeight="1">
      <c r="G231" s="22"/>
    </row>
    <row r="232" ht="13.5" customHeight="1">
      <c r="G232" s="22"/>
    </row>
    <row r="233" ht="13.5" customHeight="1">
      <c r="G233" s="22"/>
    </row>
    <row r="234" ht="13.5" customHeight="1">
      <c r="G234" s="22"/>
    </row>
    <row r="235" ht="13.5" customHeight="1">
      <c r="G235" s="22"/>
    </row>
    <row r="236" ht="13.5" customHeight="1">
      <c r="G236" s="22"/>
    </row>
    <row r="237" ht="13.5" customHeight="1">
      <c r="G237" s="22"/>
    </row>
    <row r="238" ht="13.5" customHeight="1">
      <c r="G238" s="22"/>
    </row>
    <row r="239" ht="13.5" customHeight="1">
      <c r="G239" s="22"/>
    </row>
    <row r="240" ht="13.5" customHeight="1">
      <c r="G240" s="22"/>
    </row>
    <row r="241" ht="13.5" customHeight="1">
      <c r="G241" s="22"/>
    </row>
    <row r="242" ht="13.5" customHeight="1">
      <c r="G242" s="22"/>
    </row>
    <row r="243" ht="13.5" customHeight="1">
      <c r="G243" s="22"/>
    </row>
    <row r="244" ht="13.5" customHeight="1">
      <c r="G244" s="22"/>
    </row>
    <row r="245" ht="13.5" customHeight="1">
      <c r="G245" s="22"/>
    </row>
    <row r="246" ht="13.5" customHeight="1">
      <c r="G246" s="22"/>
    </row>
    <row r="247" ht="13.5" customHeight="1">
      <c r="G247" s="22"/>
    </row>
    <row r="248" ht="13.5" customHeight="1">
      <c r="G248" s="22"/>
    </row>
    <row r="249" ht="13.5" customHeight="1">
      <c r="G249" s="22"/>
    </row>
    <row r="250" ht="13.5" customHeight="1">
      <c r="G250" s="22"/>
    </row>
    <row r="251" ht="13.5" customHeight="1">
      <c r="G251" s="22"/>
    </row>
    <row r="252" ht="13.5" customHeight="1">
      <c r="G252" s="22"/>
    </row>
    <row r="253" ht="13.5" customHeight="1">
      <c r="G253" s="22"/>
    </row>
    <row r="254" ht="13.5" customHeight="1">
      <c r="G254" s="22"/>
    </row>
    <row r="255" ht="13.5" customHeight="1">
      <c r="G255" s="22"/>
    </row>
    <row r="256" ht="13.5" customHeight="1">
      <c r="G256" s="22"/>
    </row>
    <row r="257" ht="13.5" customHeight="1">
      <c r="G257" s="22"/>
    </row>
    <row r="258" ht="13.5" customHeight="1">
      <c r="G258" s="22"/>
    </row>
    <row r="259" ht="13.5" customHeight="1">
      <c r="G259" s="22"/>
    </row>
    <row r="260" ht="13.5" customHeight="1">
      <c r="G260" s="22"/>
    </row>
    <row r="261" ht="13.5" customHeight="1">
      <c r="G261" s="22"/>
    </row>
    <row r="262" ht="13.5" customHeight="1">
      <c r="G262" s="22"/>
    </row>
    <row r="263" ht="13.5" customHeight="1">
      <c r="G263" s="22"/>
    </row>
    <row r="264" ht="13.5" customHeight="1">
      <c r="G264" s="22"/>
    </row>
    <row r="265" ht="13.5" customHeight="1">
      <c r="G265" s="22"/>
    </row>
    <row r="266" ht="13.5" customHeight="1">
      <c r="G266" s="22"/>
    </row>
    <row r="267" ht="13.5" customHeight="1">
      <c r="G267" s="22"/>
    </row>
    <row r="268" ht="13.5" customHeight="1">
      <c r="G268" s="22"/>
    </row>
    <row r="269" ht="13.5" customHeight="1">
      <c r="G269" s="22"/>
    </row>
    <row r="270" ht="13.5" customHeight="1">
      <c r="G270" s="22"/>
    </row>
    <row r="271" ht="13.5" customHeight="1">
      <c r="G271" s="22"/>
    </row>
    <row r="272" ht="13.5" customHeight="1">
      <c r="G272" s="22"/>
    </row>
    <row r="273" ht="13.5" customHeight="1">
      <c r="G273" s="22"/>
    </row>
    <row r="274" ht="13.5" customHeight="1">
      <c r="G274" s="22"/>
    </row>
    <row r="275" ht="13.5" customHeight="1">
      <c r="G275" s="22"/>
    </row>
    <row r="276" ht="13.5" customHeight="1">
      <c r="G276" s="22"/>
    </row>
    <row r="277" ht="13.5" customHeight="1">
      <c r="G277" s="22"/>
    </row>
    <row r="278" ht="13.5" customHeight="1">
      <c r="G278" s="22"/>
    </row>
    <row r="279" ht="13.5" customHeight="1">
      <c r="G279" s="22"/>
    </row>
    <row r="280" ht="13.5" customHeight="1">
      <c r="G280" s="22"/>
    </row>
    <row r="281" ht="13.5" customHeight="1">
      <c r="G281" s="22"/>
    </row>
    <row r="282" ht="13.5" customHeight="1">
      <c r="G282" s="22"/>
    </row>
    <row r="283" ht="13.5" customHeight="1">
      <c r="G283" s="22"/>
    </row>
    <row r="284" ht="13.5" customHeight="1">
      <c r="G284" s="22"/>
    </row>
    <row r="285" ht="13.5" customHeight="1">
      <c r="G285" s="22"/>
    </row>
    <row r="286" ht="13.5" customHeight="1">
      <c r="G286" s="22"/>
    </row>
    <row r="287" ht="13.5" customHeight="1">
      <c r="G287" s="22"/>
    </row>
    <row r="288" ht="13.5" customHeight="1">
      <c r="G288" s="22"/>
    </row>
    <row r="289" ht="13.5" customHeight="1">
      <c r="G289" s="22"/>
    </row>
    <row r="290" ht="13.5" customHeight="1">
      <c r="G290" s="22"/>
    </row>
    <row r="291" ht="13.5" customHeight="1">
      <c r="G291" s="22"/>
    </row>
    <row r="292" ht="13.5" customHeight="1">
      <c r="G292" s="22"/>
    </row>
    <row r="293" ht="13.5" customHeight="1">
      <c r="G293" s="22"/>
    </row>
    <row r="294" ht="13.5" customHeight="1">
      <c r="G294" s="22"/>
    </row>
    <row r="295" ht="13.5" customHeight="1">
      <c r="G295" s="22"/>
    </row>
    <row r="296" ht="13.5" customHeight="1">
      <c r="G296" s="22"/>
    </row>
    <row r="297" ht="13.5" customHeight="1">
      <c r="G297" s="22"/>
    </row>
    <row r="298" ht="13.5" customHeight="1">
      <c r="G298" s="22"/>
    </row>
    <row r="299" ht="13.5" customHeight="1">
      <c r="G299" s="22"/>
    </row>
    <row r="300" ht="13.5" customHeight="1">
      <c r="G300" s="22"/>
    </row>
    <row r="301" ht="13.5" customHeight="1">
      <c r="G301" s="22"/>
    </row>
    <row r="302" ht="13.5" customHeight="1">
      <c r="G302" s="22"/>
    </row>
    <row r="303" ht="13.5" customHeight="1">
      <c r="G303" s="22"/>
    </row>
    <row r="304" ht="13.5" customHeight="1">
      <c r="G304" s="22"/>
    </row>
    <row r="305" ht="13.5" customHeight="1">
      <c r="G305" s="22"/>
    </row>
    <row r="306" ht="13.5" customHeight="1">
      <c r="G306" s="22"/>
    </row>
    <row r="307" ht="13.5" customHeight="1">
      <c r="G307" s="22"/>
    </row>
    <row r="308" ht="13.5" customHeight="1">
      <c r="G308" s="22"/>
    </row>
    <row r="309" ht="13.5" customHeight="1">
      <c r="G309" s="22"/>
    </row>
    <row r="310" ht="13.5" customHeight="1">
      <c r="G310" s="22"/>
    </row>
    <row r="311" ht="13.5" customHeight="1">
      <c r="G311" s="22"/>
    </row>
    <row r="312" ht="13.5" customHeight="1">
      <c r="G312" s="22"/>
    </row>
    <row r="313" ht="13.5" customHeight="1">
      <c r="G313" s="22"/>
    </row>
    <row r="314" ht="13.5" customHeight="1">
      <c r="G314" s="22"/>
    </row>
    <row r="315" ht="13.5" customHeight="1">
      <c r="G315" s="22"/>
    </row>
    <row r="316" ht="13.5" customHeight="1">
      <c r="G316" s="22"/>
    </row>
    <row r="317" ht="13.5" customHeight="1">
      <c r="G317" s="22"/>
    </row>
    <row r="318" ht="13.5" customHeight="1">
      <c r="G318" s="22"/>
    </row>
    <row r="319" ht="13.5" customHeight="1">
      <c r="G319" s="22"/>
    </row>
    <row r="320" ht="13.5" customHeight="1">
      <c r="G320" s="22"/>
    </row>
    <row r="321" ht="13.5" customHeight="1">
      <c r="G321" s="22"/>
    </row>
    <row r="322" ht="13.5" customHeight="1">
      <c r="G322" s="22"/>
    </row>
    <row r="323" ht="13.5" customHeight="1">
      <c r="G323" s="22"/>
    </row>
    <row r="324" ht="13.5" customHeight="1">
      <c r="G324" s="22"/>
    </row>
    <row r="325" ht="13.5" customHeight="1">
      <c r="G325" s="22"/>
    </row>
    <row r="326" ht="13.5" customHeight="1">
      <c r="G326" s="22"/>
    </row>
    <row r="327" ht="13.5" customHeight="1">
      <c r="G327" s="22"/>
    </row>
    <row r="328" ht="13.5" customHeight="1">
      <c r="G328" s="22"/>
    </row>
    <row r="329" ht="13.5" customHeight="1">
      <c r="G329" s="22"/>
    </row>
    <row r="330" ht="13.5" customHeight="1">
      <c r="G330" s="22"/>
    </row>
    <row r="331" ht="13.5" customHeight="1">
      <c r="G331" s="22"/>
    </row>
    <row r="332" ht="13.5" customHeight="1">
      <c r="G332" s="22"/>
    </row>
    <row r="333" ht="13.5" customHeight="1">
      <c r="G333" s="22"/>
    </row>
    <row r="334" ht="13.5" customHeight="1">
      <c r="G334" s="22"/>
    </row>
    <row r="335" ht="13.5" customHeight="1">
      <c r="G335" s="22"/>
    </row>
    <row r="336" ht="13.5" customHeight="1">
      <c r="G336" s="22"/>
    </row>
    <row r="337" ht="13.5" customHeight="1">
      <c r="G337" s="22"/>
    </row>
    <row r="338" ht="13.5" customHeight="1">
      <c r="G338" s="22"/>
    </row>
    <row r="339" ht="13.5" customHeight="1">
      <c r="G339" s="22"/>
    </row>
    <row r="340" ht="13.5" customHeight="1">
      <c r="G340" s="22"/>
    </row>
    <row r="341" ht="13.5" customHeight="1">
      <c r="G341" s="22"/>
    </row>
    <row r="342" ht="13.5" customHeight="1">
      <c r="G342" s="22"/>
    </row>
    <row r="343" ht="13.5" customHeight="1">
      <c r="G343" s="22"/>
    </row>
    <row r="344" ht="13.5" customHeight="1">
      <c r="G344" s="22"/>
    </row>
    <row r="345" ht="13.5" customHeight="1">
      <c r="G345" s="22"/>
    </row>
    <row r="346" ht="13.5" customHeight="1">
      <c r="G346" s="22"/>
    </row>
    <row r="347" ht="13.5" customHeight="1">
      <c r="G347" s="22"/>
    </row>
    <row r="348" ht="13.5" customHeight="1">
      <c r="G348" s="22"/>
    </row>
    <row r="349" ht="13.5" customHeight="1">
      <c r="G349" s="22"/>
    </row>
    <row r="350" ht="13.5" customHeight="1">
      <c r="G350" s="22"/>
    </row>
    <row r="351" ht="13.5" customHeight="1">
      <c r="G351" s="22"/>
    </row>
    <row r="352" ht="13.5" customHeight="1">
      <c r="G352" s="22"/>
    </row>
    <row r="353" ht="13.5" customHeight="1">
      <c r="G353" s="22"/>
    </row>
    <row r="354" ht="13.5" customHeight="1">
      <c r="G354" s="22"/>
    </row>
    <row r="355" ht="13.5" customHeight="1">
      <c r="G355" s="22"/>
    </row>
    <row r="356" ht="13.5" customHeight="1">
      <c r="G356" s="22"/>
    </row>
    <row r="357" ht="13.5" customHeight="1">
      <c r="G357" s="22"/>
    </row>
    <row r="358" ht="13.5" customHeight="1">
      <c r="G358" s="22"/>
    </row>
    <row r="359" ht="13.5" customHeight="1">
      <c r="G359" s="22"/>
    </row>
    <row r="360" ht="13.5" customHeight="1">
      <c r="G360" s="22"/>
    </row>
    <row r="361" ht="13.5" customHeight="1">
      <c r="G361" s="22"/>
    </row>
    <row r="362" ht="13.5" customHeight="1">
      <c r="G362" s="22"/>
    </row>
    <row r="363" ht="13.5" customHeight="1">
      <c r="G363" s="22"/>
    </row>
    <row r="364" ht="13.5" customHeight="1">
      <c r="G364" s="22"/>
    </row>
    <row r="365" ht="13.5" customHeight="1">
      <c r="G365" s="22"/>
    </row>
    <row r="366" ht="13.5" customHeight="1">
      <c r="G366" s="22"/>
    </row>
    <row r="367" ht="13.5" customHeight="1">
      <c r="G367" s="22"/>
    </row>
    <row r="368" ht="13.5" customHeight="1">
      <c r="G368" s="22"/>
    </row>
    <row r="369" ht="13.5" customHeight="1">
      <c r="G369" s="22"/>
    </row>
    <row r="370" ht="13.5" customHeight="1">
      <c r="G370" s="22"/>
    </row>
    <row r="371" ht="13.5" customHeight="1">
      <c r="G371" s="22"/>
    </row>
    <row r="372" ht="13.5" customHeight="1">
      <c r="G372" s="22"/>
    </row>
    <row r="373" ht="13.5" customHeight="1">
      <c r="G373" s="22"/>
    </row>
    <row r="374" ht="13.5" customHeight="1">
      <c r="G374" s="22"/>
    </row>
    <row r="375" ht="13.5" customHeight="1">
      <c r="G375" s="22"/>
    </row>
    <row r="376" ht="13.5" customHeight="1">
      <c r="G376" s="22"/>
    </row>
    <row r="377" ht="13.5" customHeight="1">
      <c r="G377" s="22"/>
    </row>
    <row r="378" ht="13.5" customHeight="1">
      <c r="G378" s="22"/>
    </row>
    <row r="379" ht="13.5" customHeight="1">
      <c r="G379" s="22"/>
    </row>
    <row r="380" ht="13.5" customHeight="1">
      <c r="G380" s="22"/>
    </row>
    <row r="381" ht="13.5" customHeight="1">
      <c r="G381" s="22"/>
    </row>
    <row r="382" ht="13.5" customHeight="1">
      <c r="G382" s="22"/>
    </row>
    <row r="383" ht="13.5" customHeight="1">
      <c r="G383" s="22"/>
    </row>
    <row r="384" ht="13.5" customHeight="1">
      <c r="G384" s="22"/>
    </row>
    <row r="385" ht="13.5" customHeight="1">
      <c r="G385" s="22"/>
    </row>
    <row r="386" ht="13.5" customHeight="1">
      <c r="G386" s="22"/>
    </row>
    <row r="387" ht="13.5" customHeight="1">
      <c r="G387" s="22"/>
    </row>
    <row r="388" ht="13.5" customHeight="1">
      <c r="G388" s="22"/>
    </row>
    <row r="389" ht="13.5" customHeight="1">
      <c r="G389" s="22"/>
    </row>
    <row r="390" ht="13.5" customHeight="1">
      <c r="G390" s="22"/>
    </row>
    <row r="391" ht="13.5" customHeight="1">
      <c r="G391" s="22"/>
    </row>
    <row r="392" ht="13.5" customHeight="1">
      <c r="G392" s="22"/>
    </row>
    <row r="393" ht="13.5" customHeight="1">
      <c r="G393" s="22"/>
    </row>
    <row r="394" ht="13.5" customHeight="1">
      <c r="G394" s="22"/>
    </row>
    <row r="395" ht="13.5" customHeight="1">
      <c r="G395" s="22"/>
    </row>
    <row r="396" ht="13.5" customHeight="1">
      <c r="G396" s="22"/>
    </row>
    <row r="397" ht="13.5" customHeight="1">
      <c r="G397" s="22"/>
    </row>
    <row r="398" ht="13.5" customHeight="1">
      <c r="G398" s="22"/>
    </row>
    <row r="399" ht="13.5" customHeight="1">
      <c r="G399" s="22"/>
    </row>
    <row r="400" ht="13.5" customHeight="1">
      <c r="G400" s="22"/>
    </row>
    <row r="401" ht="13.5" customHeight="1">
      <c r="G401" s="22"/>
    </row>
    <row r="402" ht="13.5" customHeight="1">
      <c r="G402" s="22"/>
    </row>
    <row r="403" ht="13.5" customHeight="1">
      <c r="G403" s="22"/>
    </row>
    <row r="404" ht="13.5" customHeight="1">
      <c r="G404" s="22"/>
    </row>
    <row r="405" ht="13.5" customHeight="1">
      <c r="G405" s="22"/>
    </row>
    <row r="406" ht="13.5" customHeight="1">
      <c r="G406" s="22"/>
    </row>
    <row r="407" ht="13.5" customHeight="1">
      <c r="G407" s="22"/>
    </row>
    <row r="408" ht="13.5" customHeight="1">
      <c r="G408" s="22"/>
    </row>
    <row r="409" ht="13.5" customHeight="1">
      <c r="G409" s="22"/>
    </row>
    <row r="410" ht="13.5" customHeight="1">
      <c r="G410" s="22"/>
    </row>
    <row r="411" ht="13.5" customHeight="1">
      <c r="G411" s="22"/>
    </row>
    <row r="412" ht="13.5" customHeight="1">
      <c r="G412" s="22"/>
    </row>
    <row r="413" ht="13.5" customHeight="1">
      <c r="G413" s="22"/>
    </row>
    <row r="414" ht="13.5" customHeight="1">
      <c r="G414" s="22"/>
    </row>
    <row r="415" ht="13.5" customHeight="1">
      <c r="G415" s="22"/>
    </row>
    <row r="416" ht="13.5" customHeight="1">
      <c r="G416" s="22"/>
    </row>
    <row r="417" ht="13.5" customHeight="1">
      <c r="G417" s="22"/>
    </row>
    <row r="418" ht="13.5" customHeight="1">
      <c r="G418" s="22"/>
    </row>
    <row r="419" ht="13.5" customHeight="1">
      <c r="G419" s="22"/>
    </row>
    <row r="420" ht="13.5" customHeight="1">
      <c r="G420" s="22"/>
    </row>
    <row r="421" ht="13.5" customHeight="1">
      <c r="G421" s="22"/>
    </row>
    <row r="422" ht="13.5" customHeight="1">
      <c r="G422" s="22"/>
    </row>
    <row r="423" ht="13.5" customHeight="1">
      <c r="G423" s="22"/>
    </row>
    <row r="424" ht="13.5" customHeight="1">
      <c r="G424" s="22"/>
    </row>
    <row r="425" ht="13.5" customHeight="1">
      <c r="G425" s="22"/>
    </row>
    <row r="426" ht="13.5" customHeight="1">
      <c r="G426" s="22"/>
    </row>
    <row r="427" ht="13.5" customHeight="1">
      <c r="G427" s="22"/>
    </row>
    <row r="428" ht="13.5" customHeight="1">
      <c r="G428" s="22"/>
    </row>
    <row r="429" ht="13.5" customHeight="1">
      <c r="G429" s="22"/>
    </row>
    <row r="430" ht="13.5" customHeight="1">
      <c r="G430" s="22"/>
    </row>
    <row r="431" ht="13.5" customHeight="1">
      <c r="G431" s="22"/>
    </row>
    <row r="432" ht="13.5" customHeight="1">
      <c r="G432" s="22"/>
    </row>
    <row r="433" ht="13.5" customHeight="1">
      <c r="G433" s="22"/>
    </row>
    <row r="434" ht="13.5" customHeight="1">
      <c r="G434" s="22"/>
    </row>
    <row r="435" ht="13.5" customHeight="1">
      <c r="G435" s="22"/>
    </row>
    <row r="436" ht="13.5" customHeight="1">
      <c r="G436" s="22"/>
    </row>
    <row r="437" ht="13.5" customHeight="1">
      <c r="G437" s="22"/>
    </row>
    <row r="438" ht="13.5" customHeight="1">
      <c r="G438" s="22"/>
    </row>
    <row r="439" ht="13.5" customHeight="1">
      <c r="G439" s="22"/>
    </row>
    <row r="440" ht="13.5" customHeight="1">
      <c r="G440" s="22"/>
    </row>
    <row r="441" ht="13.5" customHeight="1">
      <c r="G441" s="22"/>
    </row>
    <row r="442" ht="13.5" customHeight="1">
      <c r="G442" s="22"/>
    </row>
    <row r="443" ht="13.5" customHeight="1">
      <c r="G443" s="22"/>
    </row>
    <row r="444" ht="13.5" customHeight="1">
      <c r="G444" s="22"/>
    </row>
    <row r="445" ht="13.5" customHeight="1">
      <c r="G445" s="22"/>
    </row>
    <row r="446" ht="13.5" customHeight="1">
      <c r="G446" s="22"/>
    </row>
    <row r="447" ht="13.5" customHeight="1">
      <c r="G447" s="22"/>
    </row>
    <row r="448" ht="13.5" customHeight="1">
      <c r="G448" s="22"/>
    </row>
    <row r="449" ht="13.5" customHeight="1">
      <c r="G449" s="22"/>
    </row>
    <row r="450" ht="13.5" customHeight="1">
      <c r="G450" s="22"/>
    </row>
    <row r="451" ht="13.5" customHeight="1">
      <c r="G451" s="22"/>
    </row>
    <row r="452" ht="13.5" customHeight="1">
      <c r="G452" s="22"/>
    </row>
    <row r="453" ht="13.5" customHeight="1">
      <c r="G453" s="22"/>
    </row>
    <row r="454" ht="13.5" customHeight="1">
      <c r="G454" s="22"/>
    </row>
    <row r="455" ht="13.5" customHeight="1">
      <c r="G455" s="22"/>
    </row>
    <row r="456" ht="13.5" customHeight="1">
      <c r="G456" s="22"/>
    </row>
    <row r="457" ht="13.5" customHeight="1">
      <c r="G457" s="22"/>
    </row>
    <row r="458" ht="13.5" customHeight="1">
      <c r="G458" s="22"/>
    </row>
    <row r="459" ht="13.5" customHeight="1">
      <c r="G459" s="22"/>
    </row>
    <row r="460" ht="13.5" customHeight="1">
      <c r="G460" s="22"/>
    </row>
    <row r="461" ht="13.5" customHeight="1">
      <c r="G461" s="22"/>
    </row>
    <row r="462" ht="13.5" customHeight="1">
      <c r="G462" s="22"/>
    </row>
    <row r="463" ht="13.5" customHeight="1">
      <c r="G463" s="22"/>
    </row>
    <row r="464" ht="13.5" customHeight="1">
      <c r="G464" s="22"/>
    </row>
    <row r="465" ht="13.5" customHeight="1">
      <c r="G465" s="22"/>
    </row>
    <row r="466" ht="13.5" customHeight="1">
      <c r="G466" s="22"/>
    </row>
    <row r="467" ht="13.5" customHeight="1">
      <c r="G467" s="22"/>
    </row>
    <row r="468" ht="13.5" customHeight="1">
      <c r="G468" s="22"/>
    </row>
    <row r="469" ht="13.5" customHeight="1">
      <c r="G469" s="22"/>
    </row>
    <row r="470" ht="13.5" customHeight="1">
      <c r="G470" s="22"/>
    </row>
    <row r="471" ht="13.5" customHeight="1">
      <c r="G471" s="22"/>
    </row>
    <row r="472" ht="13.5" customHeight="1">
      <c r="G472" s="22"/>
    </row>
    <row r="473" ht="13.5" customHeight="1">
      <c r="G473" s="22"/>
    </row>
    <row r="474" ht="13.5" customHeight="1">
      <c r="G474" s="22"/>
    </row>
    <row r="475" ht="13.5" customHeight="1">
      <c r="G475" s="22"/>
    </row>
    <row r="476" ht="13.5" customHeight="1">
      <c r="G476" s="22"/>
    </row>
    <row r="477" ht="13.5" customHeight="1">
      <c r="G477" s="22"/>
    </row>
    <row r="478" ht="13.5" customHeight="1">
      <c r="G478" s="22"/>
    </row>
    <row r="479" ht="13.5" customHeight="1">
      <c r="G479" s="22"/>
    </row>
    <row r="480" ht="13.5" customHeight="1">
      <c r="G480" s="22"/>
    </row>
    <row r="481" ht="13.5" customHeight="1">
      <c r="G481" s="22"/>
    </row>
    <row r="482" ht="13.5" customHeight="1">
      <c r="G482" s="22"/>
    </row>
    <row r="483" ht="13.5" customHeight="1">
      <c r="G483" s="22"/>
    </row>
    <row r="484" ht="13.5" customHeight="1">
      <c r="G484" s="22"/>
    </row>
    <row r="485" ht="13.5" customHeight="1">
      <c r="G485" s="22"/>
    </row>
    <row r="486" ht="13.5" customHeight="1">
      <c r="G486" s="22"/>
    </row>
    <row r="487" ht="13.5" customHeight="1">
      <c r="G487" s="22"/>
    </row>
    <row r="488" ht="13.5" customHeight="1">
      <c r="G488" s="22"/>
    </row>
    <row r="489" ht="13.5" customHeight="1">
      <c r="G489" s="22"/>
    </row>
    <row r="490" ht="13.5" customHeight="1">
      <c r="G490" s="22"/>
    </row>
    <row r="491" ht="13.5" customHeight="1">
      <c r="G491" s="22"/>
    </row>
    <row r="492" ht="13.5" customHeight="1">
      <c r="G492" s="22"/>
    </row>
    <row r="493" ht="13.5" customHeight="1">
      <c r="G493" s="22"/>
    </row>
    <row r="494" ht="13.5" customHeight="1">
      <c r="G494" s="22"/>
    </row>
    <row r="495" ht="13.5" customHeight="1">
      <c r="G495" s="22"/>
    </row>
    <row r="496" ht="13.5" customHeight="1">
      <c r="G496" s="22"/>
    </row>
    <row r="497" ht="13.5" customHeight="1">
      <c r="G497" s="22"/>
    </row>
    <row r="498" ht="13.5" customHeight="1">
      <c r="G498" s="22"/>
    </row>
    <row r="499" ht="13.5" customHeight="1">
      <c r="G499" s="22"/>
    </row>
    <row r="500" ht="13.5" customHeight="1">
      <c r="G500" s="22"/>
    </row>
    <row r="501" ht="13.5" customHeight="1">
      <c r="G501" s="22"/>
    </row>
    <row r="502" ht="13.5" customHeight="1">
      <c r="G502" s="22"/>
    </row>
    <row r="503" ht="13.5" customHeight="1">
      <c r="G503" s="22"/>
    </row>
    <row r="504" ht="13.5" customHeight="1">
      <c r="G504" s="22"/>
    </row>
    <row r="505" ht="13.5" customHeight="1">
      <c r="G505" s="22"/>
    </row>
    <row r="506" ht="13.5" customHeight="1">
      <c r="G506" s="22"/>
    </row>
    <row r="507" ht="13.5" customHeight="1">
      <c r="G507" s="22"/>
    </row>
    <row r="508" ht="13.5" customHeight="1">
      <c r="G508" s="22"/>
    </row>
    <row r="509" ht="13.5" customHeight="1">
      <c r="G509" s="22"/>
    </row>
    <row r="510" ht="13.5" customHeight="1">
      <c r="G510" s="22"/>
    </row>
    <row r="511" ht="13.5" customHeight="1">
      <c r="G511" s="22"/>
    </row>
    <row r="512" ht="13.5" customHeight="1">
      <c r="G512" s="22"/>
    </row>
    <row r="513" ht="13.5" customHeight="1">
      <c r="G513" s="22"/>
    </row>
    <row r="514" ht="13.5" customHeight="1">
      <c r="G514" s="22"/>
    </row>
    <row r="515" ht="13.5" customHeight="1">
      <c r="G515" s="22"/>
    </row>
    <row r="516" ht="13.5" customHeight="1">
      <c r="G516" s="22"/>
    </row>
    <row r="517" ht="13.5" customHeight="1">
      <c r="G517" s="22"/>
    </row>
    <row r="518" ht="13.5" customHeight="1">
      <c r="G518" s="22"/>
    </row>
    <row r="519" ht="13.5" customHeight="1">
      <c r="G519" s="22"/>
    </row>
    <row r="520" ht="13.5" customHeight="1">
      <c r="G520" s="22"/>
    </row>
    <row r="521" ht="13.5" customHeight="1">
      <c r="G521" s="22"/>
    </row>
    <row r="522" ht="13.5" customHeight="1">
      <c r="G522" s="22"/>
    </row>
    <row r="523" ht="13.5" customHeight="1">
      <c r="G523" s="22"/>
    </row>
    <row r="524" ht="13.5" customHeight="1">
      <c r="G524" s="22"/>
    </row>
    <row r="525" ht="13.5" customHeight="1">
      <c r="G525" s="22"/>
    </row>
    <row r="526" ht="13.5" customHeight="1">
      <c r="G526" s="22"/>
    </row>
    <row r="527" ht="13.5" customHeight="1">
      <c r="G527" s="22"/>
    </row>
    <row r="528" ht="13.5" customHeight="1">
      <c r="G528" s="22"/>
    </row>
    <row r="529" ht="13.5" customHeight="1">
      <c r="G529" s="22"/>
    </row>
    <row r="530" ht="13.5" customHeight="1">
      <c r="G530" s="22"/>
    </row>
    <row r="531" ht="13.5" customHeight="1">
      <c r="G531" s="22"/>
    </row>
    <row r="532" ht="13.5" customHeight="1">
      <c r="G532" s="22"/>
    </row>
    <row r="533" ht="13.5" customHeight="1">
      <c r="G533" s="22"/>
    </row>
    <row r="534" ht="13.5" customHeight="1">
      <c r="G534" s="22"/>
    </row>
    <row r="535" ht="13.5" customHeight="1">
      <c r="G535" s="22"/>
    </row>
    <row r="536" ht="13.5" customHeight="1">
      <c r="G536" s="22"/>
    </row>
    <row r="537" ht="13.5" customHeight="1">
      <c r="G537" s="22"/>
    </row>
    <row r="538" ht="13.5" customHeight="1">
      <c r="G538" s="22"/>
    </row>
    <row r="539" ht="13.5" customHeight="1">
      <c r="G539" s="22"/>
    </row>
    <row r="540" ht="13.5" customHeight="1">
      <c r="G540" s="22"/>
    </row>
    <row r="541" ht="13.5" customHeight="1">
      <c r="G541" s="22"/>
    </row>
    <row r="542" ht="13.5" customHeight="1">
      <c r="G542" s="22"/>
    </row>
    <row r="543" ht="13.5" customHeight="1">
      <c r="G543" s="22"/>
    </row>
    <row r="544" ht="13.5" customHeight="1">
      <c r="G544" s="22"/>
    </row>
    <row r="545" ht="13.5" customHeight="1">
      <c r="G545" s="22"/>
    </row>
    <row r="546" ht="13.5" customHeight="1">
      <c r="G546" s="22"/>
    </row>
    <row r="547" ht="13.5" customHeight="1">
      <c r="G547" s="22"/>
    </row>
    <row r="548" ht="13.5" customHeight="1">
      <c r="G548" s="22"/>
    </row>
    <row r="549" ht="13.5" customHeight="1">
      <c r="G549" s="22"/>
    </row>
    <row r="550" ht="13.5" customHeight="1">
      <c r="G550" s="22"/>
    </row>
    <row r="551" ht="13.5" customHeight="1">
      <c r="G551" s="22"/>
    </row>
    <row r="552" ht="13.5" customHeight="1">
      <c r="G552" s="22"/>
    </row>
    <row r="553" ht="13.5" customHeight="1">
      <c r="G553" s="22"/>
    </row>
    <row r="554" ht="13.5" customHeight="1">
      <c r="G554" s="22"/>
    </row>
    <row r="555" ht="13.5" customHeight="1">
      <c r="G555" s="22"/>
    </row>
    <row r="556" ht="13.5" customHeight="1">
      <c r="G556" s="22"/>
    </row>
    <row r="557" ht="13.5" customHeight="1">
      <c r="G557" s="22"/>
    </row>
    <row r="558" ht="13.5" customHeight="1">
      <c r="G558" s="22"/>
    </row>
    <row r="559" ht="13.5" customHeight="1">
      <c r="G559" s="22"/>
    </row>
    <row r="560" ht="13.5" customHeight="1">
      <c r="G560" s="22"/>
    </row>
    <row r="561" ht="13.5" customHeight="1">
      <c r="G561" s="22"/>
    </row>
    <row r="562" ht="13.5" customHeight="1">
      <c r="G562" s="22"/>
    </row>
    <row r="563" ht="13.5" customHeight="1">
      <c r="G563" s="22"/>
    </row>
    <row r="564" ht="13.5" customHeight="1">
      <c r="G564" s="22"/>
    </row>
    <row r="565" ht="13.5" customHeight="1">
      <c r="G565" s="22"/>
    </row>
    <row r="566" ht="13.5" customHeight="1">
      <c r="G566" s="22"/>
    </row>
    <row r="567" ht="13.5" customHeight="1">
      <c r="G567" s="22"/>
    </row>
    <row r="568" ht="13.5" customHeight="1">
      <c r="G568" s="22"/>
    </row>
    <row r="569" ht="13.5" customHeight="1">
      <c r="G569" s="22"/>
    </row>
    <row r="570" ht="13.5" customHeight="1">
      <c r="G570" s="22"/>
    </row>
    <row r="571" ht="13.5" customHeight="1">
      <c r="G571" s="22"/>
    </row>
    <row r="572" ht="13.5" customHeight="1">
      <c r="G572" s="22"/>
    </row>
    <row r="573" ht="13.5" customHeight="1">
      <c r="G573" s="22"/>
    </row>
    <row r="574" ht="13.5" customHeight="1">
      <c r="G574" s="22"/>
    </row>
    <row r="575" ht="13.5" customHeight="1">
      <c r="G575" s="22"/>
    </row>
    <row r="576" ht="13.5" customHeight="1">
      <c r="G576" s="22"/>
    </row>
    <row r="577" ht="13.5" customHeight="1">
      <c r="G577" s="22"/>
    </row>
    <row r="578" ht="13.5" customHeight="1">
      <c r="G578" s="22"/>
    </row>
    <row r="579" ht="13.5" customHeight="1">
      <c r="G579" s="22"/>
    </row>
    <row r="580" ht="13.5" customHeight="1">
      <c r="G580" s="22"/>
    </row>
    <row r="581" ht="13.5" customHeight="1">
      <c r="G581" s="22"/>
    </row>
    <row r="582" ht="13.5" customHeight="1">
      <c r="G582" s="22"/>
    </row>
    <row r="583" ht="13.5" customHeight="1">
      <c r="G583" s="22"/>
    </row>
    <row r="584" ht="13.5" customHeight="1">
      <c r="G584" s="22"/>
    </row>
    <row r="585" ht="13.5" customHeight="1">
      <c r="G585" s="22"/>
    </row>
    <row r="586" ht="13.5" customHeight="1">
      <c r="G586" s="22"/>
    </row>
    <row r="587" ht="13.5" customHeight="1">
      <c r="G587" s="22"/>
    </row>
    <row r="588" ht="13.5" customHeight="1">
      <c r="G588" s="22"/>
    </row>
    <row r="589" ht="13.5" customHeight="1">
      <c r="G589" s="22"/>
    </row>
    <row r="590" ht="13.5" customHeight="1">
      <c r="G590" s="22"/>
    </row>
    <row r="591" ht="13.5" customHeight="1">
      <c r="G591" s="22"/>
    </row>
    <row r="592" ht="13.5" customHeight="1">
      <c r="G592" s="22"/>
    </row>
    <row r="593" ht="13.5" customHeight="1">
      <c r="G593" s="22"/>
    </row>
    <row r="594" ht="13.5" customHeight="1">
      <c r="G594" s="22"/>
    </row>
    <row r="595" ht="13.5" customHeight="1">
      <c r="G595" s="22"/>
    </row>
    <row r="596" ht="13.5" customHeight="1">
      <c r="G596" s="22"/>
    </row>
    <row r="597" ht="13.5" customHeight="1">
      <c r="G597" s="22"/>
    </row>
    <row r="598" ht="13.5" customHeight="1">
      <c r="G598" s="22"/>
    </row>
    <row r="599" ht="13.5" customHeight="1">
      <c r="G599" s="22"/>
    </row>
    <row r="600" ht="13.5" customHeight="1">
      <c r="G600" s="22"/>
    </row>
    <row r="601" ht="13.5" customHeight="1">
      <c r="G601" s="22"/>
    </row>
    <row r="602" ht="13.5" customHeight="1">
      <c r="G602" s="22"/>
    </row>
    <row r="603" ht="13.5" customHeight="1">
      <c r="G603" s="22"/>
    </row>
    <row r="604" ht="13.5" customHeight="1">
      <c r="G604" s="22"/>
    </row>
    <row r="605" ht="13.5" customHeight="1">
      <c r="G605" s="22"/>
    </row>
    <row r="606" ht="13.5" customHeight="1">
      <c r="G606" s="22"/>
    </row>
    <row r="607" ht="13.5" customHeight="1">
      <c r="G607" s="22"/>
    </row>
    <row r="608" ht="13.5" customHeight="1">
      <c r="G608" s="22"/>
    </row>
    <row r="609" ht="13.5" customHeight="1">
      <c r="G609" s="22"/>
    </row>
    <row r="610" ht="13.5" customHeight="1">
      <c r="G610" s="22"/>
    </row>
    <row r="611" ht="13.5" customHeight="1">
      <c r="G611" s="22"/>
    </row>
    <row r="612" ht="13.5" customHeight="1">
      <c r="G612" s="22"/>
    </row>
    <row r="613" ht="13.5" customHeight="1">
      <c r="G613" s="22"/>
    </row>
    <row r="614" ht="13.5" customHeight="1">
      <c r="G614" s="22"/>
    </row>
    <row r="615" ht="13.5" customHeight="1">
      <c r="G615" s="22"/>
    </row>
    <row r="616" ht="13.5" customHeight="1">
      <c r="G616" s="22"/>
    </row>
    <row r="617" ht="13.5" customHeight="1">
      <c r="G617" s="22"/>
    </row>
    <row r="618" ht="13.5" customHeight="1">
      <c r="G618" s="22"/>
    </row>
    <row r="619" ht="13.5" customHeight="1">
      <c r="G619" s="22"/>
    </row>
    <row r="620" ht="13.5" customHeight="1">
      <c r="G620" s="22"/>
    </row>
    <row r="621" ht="13.5" customHeight="1">
      <c r="G621" s="22"/>
    </row>
    <row r="622" ht="13.5" customHeight="1">
      <c r="G622" s="22"/>
    </row>
    <row r="623" ht="13.5" customHeight="1">
      <c r="G623" s="22"/>
    </row>
    <row r="624" ht="13.5" customHeight="1">
      <c r="G624" s="22"/>
    </row>
    <row r="625" ht="13.5" customHeight="1">
      <c r="G625" s="22"/>
    </row>
    <row r="626" ht="13.5" customHeight="1">
      <c r="G626" s="22"/>
    </row>
    <row r="627" ht="13.5" customHeight="1">
      <c r="G627" s="22"/>
    </row>
    <row r="628" ht="13.5" customHeight="1">
      <c r="G628" s="22"/>
    </row>
    <row r="629" ht="13.5" customHeight="1">
      <c r="G629" s="22"/>
    </row>
    <row r="630" ht="13.5" customHeight="1">
      <c r="G630" s="22"/>
    </row>
    <row r="631" ht="13.5" customHeight="1">
      <c r="G631" s="22"/>
    </row>
    <row r="632" ht="13.5" customHeight="1">
      <c r="G632" s="22"/>
    </row>
    <row r="633" ht="13.5" customHeight="1">
      <c r="G633" s="22"/>
    </row>
    <row r="634" ht="13.5" customHeight="1">
      <c r="G634" s="22"/>
    </row>
    <row r="635" ht="13.5" customHeight="1">
      <c r="G635" s="22"/>
    </row>
    <row r="636" ht="13.5" customHeight="1">
      <c r="G636" s="22"/>
    </row>
    <row r="637" ht="13.5" customHeight="1">
      <c r="G637" s="22"/>
    </row>
    <row r="638" ht="13.5" customHeight="1">
      <c r="G638" s="22"/>
    </row>
    <row r="639" ht="13.5" customHeight="1">
      <c r="G639" s="22"/>
    </row>
    <row r="640" ht="13.5" customHeight="1">
      <c r="G640" s="22"/>
    </row>
    <row r="641" ht="13.5" customHeight="1">
      <c r="G641" s="22"/>
    </row>
    <row r="642" ht="13.5" customHeight="1">
      <c r="G642" s="22"/>
    </row>
    <row r="643" ht="13.5" customHeight="1">
      <c r="G643" s="22"/>
    </row>
    <row r="644" ht="13.5" customHeight="1">
      <c r="G644" s="22"/>
    </row>
    <row r="645" ht="13.5" customHeight="1">
      <c r="G645" s="22"/>
    </row>
    <row r="646" ht="13.5" customHeight="1">
      <c r="G646" s="22"/>
    </row>
    <row r="647" ht="13.5" customHeight="1">
      <c r="G647" s="22"/>
    </row>
    <row r="648" ht="13.5" customHeight="1">
      <c r="G648" s="22"/>
    </row>
    <row r="649" ht="13.5" customHeight="1">
      <c r="G649" s="22"/>
    </row>
    <row r="650" ht="13.5" customHeight="1">
      <c r="G650" s="22"/>
    </row>
    <row r="651" ht="13.5" customHeight="1">
      <c r="G651" s="22"/>
    </row>
    <row r="652" ht="13.5" customHeight="1">
      <c r="G652" s="22"/>
    </row>
    <row r="653" ht="13.5" customHeight="1">
      <c r="G653" s="22"/>
    </row>
    <row r="654" ht="13.5" customHeight="1">
      <c r="G654" s="22"/>
    </row>
    <row r="655" ht="13.5" customHeight="1">
      <c r="G655" s="22"/>
    </row>
    <row r="656" ht="13.5" customHeight="1">
      <c r="G656" s="22"/>
    </row>
    <row r="657" ht="13.5" customHeight="1">
      <c r="G657" s="22"/>
    </row>
    <row r="658" ht="13.5" customHeight="1">
      <c r="G658" s="22"/>
    </row>
    <row r="659" ht="13.5" customHeight="1">
      <c r="G659" s="22"/>
    </row>
    <row r="660" ht="13.5" customHeight="1">
      <c r="G660" s="22"/>
    </row>
    <row r="661" ht="13.5" customHeight="1">
      <c r="G661" s="22"/>
    </row>
    <row r="662" ht="13.5" customHeight="1">
      <c r="G662" s="22"/>
    </row>
    <row r="663" ht="13.5" customHeight="1">
      <c r="G663" s="22"/>
    </row>
    <row r="664" ht="13.5" customHeight="1">
      <c r="G664" s="22"/>
    </row>
    <row r="665" ht="13.5" customHeight="1">
      <c r="G665" s="22"/>
    </row>
    <row r="666" ht="13.5" customHeight="1">
      <c r="G666" s="22"/>
    </row>
    <row r="667" ht="13.5" customHeight="1">
      <c r="G667" s="22"/>
    </row>
    <row r="668" ht="13.5" customHeight="1">
      <c r="G668" s="22"/>
    </row>
    <row r="669" ht="13.5" customHeight="1">
      <c r="G669" s="22"/>
    </row>
    <row r="670" ht="13.5" customHeight="1">
      <c r="G670" s="22"/>
    </row>
    <row r="671" ht="13.5" customHeight="1">
      <c r="G671" s="22"/>
    </row>
    <row r="672" ht="13.5" customHeight="1">
      <c r="G672" s="22"/>
    </row>
    <row r="673" ht="13.5" customHeight="1">
      <c r="G673" s="22"/>
    </row>
    <row r="674" ht="13.5" customHeight="1">
      <c r="G674" s="22"/>
    </row>
    <row r="675" ht="13.5" customHeight="1">
      <c r="G675" s="22"/>
    </row>
    <row r="676" ht="13.5" customHeight="1">
      <c r="G676" s="22"/>
    </row>
    <row r="677" ht="13.5" customHeight="1">
      <c r="G677" s="22"/>
    </row>
    <row r="678" ht="13.5" customHeight="1">
      <c r="G678" s="22"/>
    </row>
    <row r="679" ht="13.5" customHeight="1">
      <c r="G679" s="22"/>
    </row>
    <row r="680" ht="13.5" customHeight="1">
      <c r="G680" s="22"/>
    </row>
    <row r="681" ht="13.5" customHeight="1">
      <c r="G681" s="22"/>
    </row>
    <row r="682" ht="13.5" customHeight="1">
      <c r="G682" s="22"/>
    </row>
    <row r="683" ht="13.5" customHeight="1">
      <c r="G683" s="22"/>
    </row>
    <row r="684" ht="13.5" customHeight="1">
      <c r="G684" s="22"/>
    </row>
    <row r="685" ht="13.5" customHeight="1">
      <c r="G685" s="22"/>
    </row>
    <row r="686" ht="13.5" customHeight="1">
      <c r="G686" s="22"/>
    </row>
    <row r="687" ht="13.5" customHeight="1">
      <c r="G687" s="22"/>
    </row>
    <row r="688" ht="13.5" customHeight="1">
      <c r="G688" s="22"/>
    </row>
    <row r="689" ht="13.5" customHeight="1">
      <c r="G689" s="22"/>
    </row>
    <row r="690" ht="13.5" customHeight="1">
      <c r="G690" s="22"/>
    </row>
    <row r="691" ht="13.5" customHeight="1">
      <c r="G691" s="22"/>
    </row>
    <row r="692" ht="13.5" customHeight="1">
      <c r="G692" s="22"/>
    </row>
    <row r="693" ht="13.5" customHeight="1">
      <c r="G693" s="22"/>
    </row>
    <row r="694" ht="13.5" customHeight="1">
      <c r="G694" s="22"/>
    </row>
    <row r="695" ht="13.5" customHeight="1">
      <c r="G695" s="22"/>
    </row>
    <row r="696" ht="13.5" customHeight="1">
      <c r="G696" s="22"/>
    </row>
    <row r="697" ht="13.5" customHeight="1">
      <c r="G697" s="22"/>
    </row>
    <row r="698" ht="13.5" customHeight="1">
      <c r="G698" s="22"/>
    </row>
    <row r="699" ht="13.5" customHeight="1">
      <c r="G699" s="22"/>
    </row>
    <row r="700" ht="13.5" customHeight="1">
      <c r="G700" s="22"/>
    </row>
    <row r="701" ht="13.5" customHeight="1">
      <c r="G701" s="22"/>
    </row>
    <row r="702" ht="13.5" customHeight="1">
      <c r="G702" s="22"/>
    </row>
    <row r="703" ht="13.5" customHeight="1">
      <c r="G703" s="22"/>
    </row>
    <row r="704" ht="13.5" customHeight="1">
      <c r="G704" s="22"/>
    </row>
    <row r="705" ht="13.5" customHeight="1">
      <c r="G705" s="22"/>
    </row>
    <row r="706" ht="13.5" customHeight="1">
      <c r="G706" s="22"/>
    </row>
    <row r="707" ht="13.5" customHeight="1">
      <c r="G707" s="22"/>
    </row>
    <row r="708" ht="13.5" customHeight="1">
      <c r="G708" s="22"/>
    </row>
    <row r="709" ht="13.5" customHeight="1">
      <c r="G709" s="22"/>
    </row>
    <row r="710" ht="13.5" customHeight="1">
      <c r="G710" s="22"/>
    </row>
    <row r="711" ht="13.5" customHeight="1">
      <c r="G711" s="22"/>
    </row>
    <row r="712" ht="13.5" customHeight="1">
      <c r="G712" s="22"/>
    </row>
    <row r="713" ht="13.5" customHeight="1">
      <c r="G713" s="22"/>
    </row>
    <row r="714" ht="13.5" customHeight="1">
      <c r="G714" s="22"/>
    </row>
    <row r="715" ht="13.5" customHeight="1">
      <c r="G715" s="22"/>
    </row>
    <row r="716" ht="13.5" customHeight="1">
      <c r="G716" s="22"/>
    </row>
    <row r="717" ht="13.5" customHeight="1">
      <c r="G717" s="22"/>
    </row>
    <row r="718" ht="13.5" customHeight="1">
      <c r="G718" s="22"/>
    </row>
    <row r="719" ht="13.5" customHeight="1">
      <c r="G719" s="22"/>
    </row>
    <row r="720" ht="13.5" customHeight="1">
      <c r="G720" s="22"/>
    </row>
    <row r="721" ht="13.5" customHeight="1">
      <c r="G721" s="22"/>
    </row>
    <row r="722" ht="13.5" customHeight="1">
      <c r="G722" s="22"/>
    </row>
    <row r="723" ht="13.5" customHeight="1">
      <c r="G723" s="22"/>
    </row>
    <row r="724" ht="13.5" customHeight="1">
      <c r="G724" s="22"/>
    </row>
    <row r="725" ht="13.5" customHeight="1">
      <c r="G725" s="22"/>
    </row>
    <row r="726" ht="13.5" customHeight="1">
      <c r="G726" s="22"/>
    </row>
    <row r="727" ht="13.5" customHeight="1">
      <c r="G727" s="22"/>
    </row>
    <row r="728" ht="13.5" customHeight="1">
      <c r="G728" s="22"/>
    </row>
    <row r="729" ht="13.5" customHeight="1">
      <c r="G729" s="22"/>
    </row>
    <row r="730" ht="13.5" customHeight="1">
      <c r="G730" s="22"/>
    </row>
    <row r="731" ht="13.5" customHeight="1">
      <c r="G731" s="22"/>
    </row>
    <row r="732" ht="13.5" customHeight="1">
      <c r="G732" s="22"/>
    </row>
    <row r="733" ht="13.5" customHeight="1">
      <c r="G733" s="22"/>
    </row>
    <row r="734" ht="13.5" customHeight="1">
      <c r="G734" s="22"/>
    </row>
    <row r="735" ht="13.5" customHeight="1">
      <c r="G735" s="22"/>
    </row>
    <row r="736" ht="13.5" customHeight="1">
      <c r="G736" s="22"/>
    </row>
    <row r="737" ht="13.5" customHeight="1">
      <c r="G737" s="22"/>
    </row>
    <row r="738" ht="13.5" customHeight="1">
      <c r="G738" s="22"/>
    </row>
    <row r="739" ht="13.5" customHeight="1">
      <c r="G739" s="22"/>
    </row>
    <row r="740" ht="13.5" customHeight="1">
      <c r="G740" s="22"/>
    </row>
    <row r="741" ht="13.5" customHeight="1">
      <c r="G741" s="22"/>
    </row>
    <row r="742" ht="13.5" customHeight="1">
      <c r="G742" s="22"/>
    </row>
    <row r="743" ht="13.5" customHeight="1">
      <c r="G743" s="22"/>
    </row>
    <row r="744" ht="13.5" customHeight="1">
      <c r="G744" s="22"/>
    </row>
    <row r="745" ht="13.5" customHeight="1">
      <c r="G745" s="22"/>
    </row>
    <row r="746" ht="13.5" customHeight="1">
      <c r="G746" s="22"/>
    </row>
    <row r="747" ht="13.5" customHeight="1">
      <c r="G747" s="22"/>
    </row>
    <row r="748" ht="13.5" customHeight="1">
      <c r="G748" s="22"/>
    </row>
    <row r="749" ht="13.5" customHeight="1">
      <c r="G749" s="22"/>
    </row>
    <row r="750" ht="13.5" customHeight="1">
      <c r="G750" s="22"/>
    </row>
    <row r="751" ht="13.5" customHeight="1">
      <c r="G751" s="22"/>
    </row>
    <row r="752" ht="13.5" customHeight="1">
      <c r="G752" s="22"/>
    </row>
    <row r="753" ht="13.5" customHeight="1">
      <c r="G753" s="22"/>
    </row>
    <row r="754" ht="13.5" customHeight="1">
      <c r="G754" s="22"/>
    </row>
    <row r="755" ht="13.5" customHeight="1">
      <c r="G755" s="22"/>
    </row>
    <row r="756" ht="13.5" customHeight="1">
      <c r="G756" s="22"/>
    </row>
    <row r="757" ht="13.5" customHeight="1">
      <c r="G757" s="22"/>
    </row>
    <row r="758" ht="13.5" customHeight="1">
      <c r="G758" s="22"/>
    </row>
    <row r="759" ht="13.5" customHeight="1">
      <c r="G759" s="22"/>
    </row>
    <row r="760" ht="13.5" customHeight="1">
      <c r="G760" s="22"/>
    </row>
    <row r="761" ht="13.5" customHeight="1">
      <c r="G761" s="22"/>
    </row>
    <row r="762" ht="13.5" customHeight="1">
      <c r="G762" s="22"/>
    </row>
    <row r="763" ht="13.5" customHeight="1">
      <c r="G763" s="22"/>
    </row>
    <row r="764" ht="13.5" customHeight="1">
      <c r="G764" s="22"/>
    </row>
    <row r="765" ht="13.5" customHeight="1">
      <c r="G765" s="22"/>
    </row>
    <row r="766" ht="13.5" customHeight="1">
      <c r="G766" s="22"/>
    </row>
    <row r="767" ht="13.5" customHeight="1">
      <c r="G767" s="22"/>
    </row>
    <row r="768" ht="13.5" customHeight="1">
      <c r="G768" s="22"/>
    </row>
    <row r="769" ht="13.5" customHeight="1">
      <c r="G769" s="22"/>
    </row>
    <row r="770" ht="13.5" customHeight="1">
      <c r="G770" s="22"/>
    </row>
    <row r="771" ht="13.5" customHeight="1">
      <c r="G771" s="22"/>
    </row>
    <row r="772" ht="13.5" customHeight="1">
      <c r="G772" s="22"/>
    </row>
    <row r="773" ht="13.5" customHeight="1">
      <c r="G773" s="22"/>
    </row>
    <row r="774" ht="13.5" customHeight="1">
      <c r="G774" s="22"/>
    </row>
    <row r="775" ht="13.5" customHeight="1">
      <c r="G775" s="22"/>
    </row>
    <row r="776" ht="13.5" customHeight="1">
      <c r="G776" s="22"/>
    </row>
    <row r="777" ht="13.5" customHeight="1">
      <c r="G777" s="22"/>
    </row>
    <row r="778" ht="13.5" customHeight="1">
      <c r="G778" s="22"/>
    </row>
    <row r="779" ht="13.5" customHeight="1">
      <c r="G779" s="22"/>
    </row>
    <row r="780" ht="13.5" customHeight="1">
      <c r="G780" s="22"/>
    </row>
    <row r="781" ht="13.5" customHeight="1">
      <c r="G781" s="22"/>
    </row>
    <row r="782" ht="13.5" customHeight="1">
      <c r="G782" s="22"/>
    </row>
    <row r="783" ht="13.5" customHeight="1">
      <c r="G783" s="22"/>
    </row>
    <row r="784" ht="13.5" customHeight="1">
      <c r="G784" s="22"/>
    </row>
    <row r="785" ht="13.5" customHeight="1">
      <c r="G785" s="22"/>
    </row>
    <row r="786" ht="13.5" customHeight="1">
      <c r="G786" s="22"/>
    </row>
    <row r="787" ht="13.5" customHeight="1">
      <c r="G787" s="22"/>
    </row>
    <row r="788" ht="13.5" customHeight="1">
      <c r="G788" s="22"/>
    </row>
    <row r="789" ht="13.5" customHeight="1">
      <c r="G789" s="22"/>
    </row>
    <row r="790" ht="13.5" customHeight="1">
      <c r="G790" s="22"/>
    </row>
    <row r="791" ht="13.5" customHeight="1">
      <c r="G791" s="22"/>
    </row>
    <row r="792" ht="13.5" customHeight="1">
      <c r="G792" s="22"/>
    </row>
    <row r="793" ht="13.5" customHeight="1">
      <c r="G793" s="22"/>
    </row>
    <row r="794" ht="13.5" customHeight="1">
      <c r="G794" s="22"/>
    </row>
    <row r="795" ht="13.5" customHeight="1">
      <c r="G795" s="22"/>
    </row>
    <row r="796" ht="13.5" customHeight="1">
      <c r="G796" s="22"/>
    </row>
    <row r="797" ht="13.5" customHeight="1">
      <c r="G797" s="22"/>
    </row>
    <row r="798" ht="13.5" customHeight="1">
      <c r="G798" s="22"/>
    </row>
    <row r="799" ht="13.5" customHeight="1">
      <c r="G799" s="22"/>
    </row>
    <row r="800" ht="13.5" customHeight="1">
      <c r="G800" s="22"/>
    </row>
    <row r="801" ht="13.5" customHeight="1">
      <c r="G801" s="22"/>
    </row>
    <row r="802" ht="13.5" customHeight="1">
      <c r="G802" s="22"/>
    </row>
    <row r="803" ht="13.5" customHeight="1">
      <c r="G803" s="22"/>
    </row>
    <row r="804" ht="13.5" customHeight="1">
      <c r="G804" s="22"/>
    </row>
    <row r="805" ht="13.5" customHeight="1">
      <c r="G805" s="22"/>
    </row>
    <row r="806" ht="13.5" customHeight="1">
      <c r="G806" s="22"/>
    </row>
    <row r="807" ht="13.5" customHeight="1">
      <c r="G807" s="22"/>
    </row>
    <row r="808" ht="13.5" customHeight="1">
      <c r="G808" s="22"/>
    </row>
    <row r="809" ht="13.5" customHeight="1">
      <c r="G809" s="22"/>
    </row>
    <row r="810" ht="13.5" customHeight="1">
      <c r="G810" s="22"/>
    </row>
    <row r="811" ht="13.5" customHeight="1">
      <c r="G811" s="22"/>
    </row>
    <row r="812" ht="13.5" customHeight="1">
      <c r="G812" s="22"/>
    </row>
    <row r="813" ht="13.5" customHeight="1">
      <c r="G813" s="22"/>
    </row>
    <row r="814" ht="13.5" customHeight="1">
      <c r="G814" s="22"/>
    </row>
    <row r="815" ht="13.5" customHeight="1">
      <c r="G815" s="22"/>
    </row>
    <row r="816" ht="13.5" customHeight="1">
      <c r="G816" s="22"/>
    </row>
    <row r="817" ht="13.5" customHeight="1">
      <c r="G817" s="22"/>
    </row>
    <row r="818" ht="13.5" customHeight="1">
      <c r="G818" s="22"/>
    </row>
    <row r="819" ht="13.5" customHeight="1">
      <c r="G819" s="22"/>
    </row>
    <row r="820" ht="13.5" customHeight="1">
      <c r="G820" s="22"/>
    </row>
    <row r="821" ht="13.5" customHeight="1">
      <c r="G821" s="22"/>
    </row>
    <row r="822" ht="13.5" customHeight="1">
      <c r="G822" s="22"/>
    </row>
    <row r="823" ht="13.5" customHeight="1">
      <c r="G823" s="22"/>
    </row>
    <row r="824" ht="13.5" customHeight="1">
      <c r="G824" s="22"/>
    </row>
    <row r="825" ht="13.5" customHeight="1">
      <c r="G825" s="22"/>
    </row>
    <row r="826" ht="13.5" customHeight="1">
      <c r="G826" s="22"/>
    </row>
    <row r="827" ht="13.5" customHeight="1">
      <c r="G827" s="22"/>
    </row>
    <row r="828" ht="13.5" customHeight="1">
      <c r="G828" s="22"/>
    </row>
    <row r="829" ht="13.5" customHeight="1">
      <c r="G829" s="22"/>
    </row>
    <row r="830" ht="13.5" customHeight="1">
      <c r="G830" s="22"/>
    </row>
    <row r="831" ht="13.5" customHeight="1">
      <c r="G831" s="22"/>
    </row>
    <row r="832" ht="13.5" customHeight="1">
      <c r="G832" s="22"/>
    </row>
    <row r="833" ht="13.5" customHeight="1">
      <c r="G833" s="22"/>
    </row>
    <row r="834" ht="13.5" customHeight="1">
      <c r="G834" s="22"/>
    </row>
    <row r="835" ht="13.5" customHeight="1">
      <c r="G835" s="22"/>
    </row>
    <row r="836" ht="13.5" customHeight="1">
      <c r="G836" s="22"/>
    </row>
    <row r="837" ht="13.5" customHeight="1">
      <c r="G837" s="22"/>
    </row>
    <row r="838" ht="13.5" customHeight="1">
      <c r="G838" s="22"/>
    </row>
    <row r="839" ht="13.5" customHeight="1">
      <c r="G839" s="22"/>
    </row>
    <row r="840" ht="13.5" customHeight="1">
      <c r="G840" s="22"/>
    </row>
    <row r="841" ht="13.5" customHeight="1">
      <c r="G841" s="22"/>
    </row>
    <row r="842" ht="13.5" customHeight="1">
      <c r="G842" s="22"/>
    </row>
    <row r="843" ht="13.5" customHeight="1">
      <c r="G843" s="22"/>
    </row>
    <row r="844" ht="13.5" customHeight="1">
      <c r="G844" s="22"/>
    </row>
    <row r="845" ht="13.5" customHeight="1">
      <c r="G845" s="22"/>
    </row>
    <row r="846" ht="13.5" customHeight="1">
      <c r="G846" s="22"/>
    </row>
    <row r="847" ht="13.5" customHeight="1">
      <c r="G847" s="22"/>
    </row>
    <row r="848" ht="13.5" customHeight="1">
      <c r="G848" s="22"/>
    </row>
    <row r="849" ht="13.5" customHeight="1">
      <c r="G849" s="22"/>
    </row>
    <row r="850" ht="13.5" customHeight="1">
      <c r="G850" s="22"/>
    </row>
    <row r="851" ht="13.5" customHeight="1">
      <c r="G851" s="22"/>
    </row>
    <row r="852" ht="13.5" customHeight="1">
      <c r="G852" s="22"/>
    </row>
    <row r="853" ht="13.5" customHeight="1">
      <c r="G853" s="22"/>
    </row>
    <row r="854" ht="13.5" customHeight="1">
      <c r="G854" s="22"/>
    </row>
    <row r="855" ht="13.5" customHeight="1">
      <c r="G855" s="22"/>
    </row>
    <row r="856" ht="13.5" customHeight="1">
      <c r="G856" s="22"/>
    </row>
    <row r="857" ht="13.5" customHeight="1">
      <c r="G857" s="22"/>
    </row>
    <row r="858" ht="13.5" customHeight="1">
      <c r="G858" s="22"/>
    </row>
    <row r="859" ht="13.5" customHeight="1">
      <c r="G859" s="22"/>
    </row>
    <row r="860" ht="13.5" customHeight="1">
      <c r="G860" s="22"/>
    </row>
    <row r="861" ht="13.5" customHeight="1">
      <c r="G861" s="22"/>
    </row>
    <row r="862" ht="13.5" customHeight="1">
      <c r="G862" s="22"/>
    </row>
    <row r="863" ht="13.5" customHeight="1">
      <c r="G863" s="22"/>
    </row>
    <row r="864" ht="13.5" customHeight="1">
      <c r="G864" s="22"/>
    </row>
    <row r="865" ht="13.5" customHeight="1">
      <c r="G865" s="22"/>
    </row>
    <row r="866" ht="13.5" customHeight="1">
      <c r="G866" s="22"/>
    </row>
    <row r="867" ht="13.5" customHeight="1">
      <c r="G867" s="22"/>
    </row>
    <row r="868" ht="13.5" customHeight="1">
      <c r="G868" s="22"/>
    </row>
    <row r="869" ht="13.5" customHeight="1">
      <c r="G869" s="22"/>
    </row>
    <row r="870" ht="13.5" customHeight="1">
      <c r="G870" s="22"/>
    </row>
    <row r="871" ht="13.5" customHeight="1">
      <c r="G871" s="22"/>
    </row>
    <row r="872" ht="13.5" customHeight="1">
      <c r="G872" s="22"/>
    </row>
    <row r="873" ht="13.5" customHeight="1">
      <c r="G873" s="22"/>
    </row>
    <row r="874" ht="13.5" customHeight="1">
      <c r="G874" s="22"/>
    </row>
    <row r="875" ht="13.5" customHeight="1">
      <c r="G875" s="22"/>
    </row>
    <row r="876" ht="13.5" customHeight="1">
      <c r="G876" s="22"/>
    </row>
    <row r="877" ht="13.5" customHeight="1">
      <c r="G877" s="22"/>
    </row>
    <row r="878" ht="13.5" customHeight="1">
      <c r="G878" s="22"/>
    </row>
    <row r="879" ht="13.5" customHeight="1">
      <c r="G879" s="22"/>
    </row>
    <row r="880" ht="13.5" customHeight="1">
      <c r="G880" s="22"/>
    </row>
    <row r="881" ht="13.5" customHeight="1">
      <c r="G881" s="22"/>
    </row>
    <row r="882" ht="13.5" customHeight="1">
      <c r="G882" s="22"/>
    </row>
    <row r="883" ht="13.5" customHeight="1">
      <c r="G883" s="22"/>
    </row>
    <row r="884" ht="13.5" customHeight="1">
      <c r="G884" s="22"/>
    </row>
    <row r="885" ht="13.5" customHeight="1">
      <c r="G885" s="22"/>
    </row>
    <row r="886" ht="13.5" customHeight="1">
      <c r="G886" s="22"/>
    </row>
    <row r="887" ht="13.5" customHeight="1">
      <c r="G887" s="22"/>
    </row>
    <row r="888" ht="13.5" customHeight="1">
      <c r="G888" s="22"/>
    </row>
    <row r="889" ht="13.5" customHeight="1">
      <c r="G889" s="22"/>
    </row>
    <row r="890" ht="13.5" customHeight="1">
      <c r="G890" s="22"/>
    </row>
    <row r="891" ht="13.5" customHeight="1">
      <c r="G891" s="22"/>
    </row>
    <row r="892" ht="13.5" customHeight="1">
      <c r="G892" s="22"/>
    </row>
    <row r="893" ht="13.5" customHeight="1">
      <c r="G893" s="22"/>
    </row>
    <row r="894" ht="13.5" customHeight="1">
      <c r="G894" s="22"/>
    </row>
    <row r="895" ht="13.5" customHeight="1">
      <c r="G895" s="22"/>
    </row>
    <row r="896" ht="13.5" customHeight="1">
      <c r="G896" s="22"/>
    </row>
    <row r="897" ht="13.5" customHeight="1">
      <c r="G897" s="22"/>
    </row>
    <row r="898" ht="13.5" customHeight="1">
      <c r="G898" s="22"/>
    </row>
    <row r="899" ht="13.5" customHeight="1">
      <c r="G899" s="22"/>
    </row>
    <row r="900" ht="13.5" customHeight="1">
      <c r="G900" s="22"/>
    </row>
    <row r="901" ht="13.5" customHeight="1">
      <c r="G901" s="22"/>
    </row>
    <row r="902" ht="13.5" customHeight="1">
      <c r="G902" s="22"/>
    </row>
    <row r="903" ht="13.5" customHeight="1">
      <c r="G903" s="22"/>
    </row>
    <row r="904" ht="13.5" customHeight="1">
      <c r="G904" s="22"/>
    </row>
    <row r="905" ht="13.5" customHeight="1">
      <c r="G905" s="22"/>
    </row>
    <row r="906" ht="13.5" customHeight="1">
      <c r="G906" s="22"/>
    </row>
    <row r="907" ht="13.5" customHeight="1">
      <c r="G907" s="22"/>
    </row>
    <row r="908" ht="13.5" customHeight="1">
      <c r="G908" s="22"/>
    </row>
    <row r="909" ht="13.5" customHeight="1">
      <c r="G909" s="22"/>
    </row>
    <row r="910" ht="13.5" customHeight="1">
      <c r="G910" s="22"/>
    </row>
    <row r="911" ht="13.5" customHeight="1">
      <c r="G911" s="22"/>
    </row>
    <row r="912" ht="13.5" customHeight="1">
      <c r="G912" s="22"/>
    </row>
    <row r="913" ht="13.5" customHeight="1">
      <c r="G913" s="22"/>
    </row>
    <row r="914" ht="13.5" customHeight="1">
      <c r="G914" s="22"/>
    </row>
    <row r="915" ht="13.5" customHeight="1">
      <c r="G915" s="22"/>
    </row>
    <row r="916" ht="13.5" customHeight="1">
      <c r="G916" s="22"/>
    </row>
    <row r="917" ht="13.5" customHeight="1">
      <c r="G917" s="22"/>
    </row>
    <row r="918" ht="13.5" customHeight="1">
      <c r="G918" s="22"/>
    </row>
    <row r="919" ht="13.5" customHeight="1">
      <c r="G919" s="22"/>
    </row>
    <row r="920" ht="13.5" customHeight="1">
      <c r="G920" s="22"/>
    </row>
    <row r="921" ht="13.5" customHeight="1">
      <c r="G921" s="22"/>
    </row>
    <row r="922" ht="13.5" customHeight="1">
      <c r="G922" s="22"/>
    </row>
    <row r="923" ht="13.5" customHeight="1">
      <c r="G923" s="22"/>
    </row>
    <row r="924" ht="13.5" customHeight="1">
      <c r="G924" s="22"/>
    </row>
    <row r="925" ht="13.5" customHeight="1">
      <c r="G925" s="22"/>
    </row>
    <row r="926" ht="13.5" customHeight="1">
      <c r="G926" s="22"/>
    </row>
    <row r="927" ht="13.5" customHeight="1">
      <c r="G927" s="22"/>
    </row>
    <row r="928" ht="13.5" customHeight="1">
      <c r="G928" s="22"/>
    </row>
    <row r="929" ht="13.5" customHeight="1">
      <c r="G929" s="22"/>
    </row>
    <row r="930" ht="13.5" customHeight="1">
      <c r="G930" s="22"/>
    </row>
    <row r="931" ht="13.5" customHeight="1">
      <c r="G931" s="22"/>
    </row>
    <row r="932" ht="13.5" customHeight="1">
      <c r="G932" s="22"/>
    </row>
    <row r="933" ht="13.5" customHeight="1">
      <c r="G933" s="22"/>
    </row>
    <row r="934" ht="13.5" customHeight="1">
      <c r="G934" s="22"/>
    </row>
    <row r="935" ht="13.5" customHeight="1">
      <c r="G935" s="22"/>
    </row>
    <row r="936" ht="13.5" customHeight="1">
      <c r="G936" s="22"/>
    </row>
    <row r="937" ht="13.5" customHeight="1">
      <c r="G937" s="22"/>
    </row>
    <row r="938" ht="13.5" customHeight="1">
      <c r="G938" s="22"/>
    </row>
    <row r="939" ht="13.5" customHeight="1">
      <c r="G939" s="22"/>
    </row>
    <row r="940" ht="13.5" customHeight="1">
      <c r="G940" s="22"/>
    </row>
    <row r="941" ht="13.5" customHeight="1">
      <c r="G941" s="22"/>
    </row>
    <row r="942" ht="13.5" customHeight="1">
      <c r="G942" s="22"/>
    </row>
    <row r="943" ht="13.5" customHeight="1">
      <c r="G943" s="22"/>
    </row>
    <row r="944" ht="13.5" customHeight="1">
      <c r="G944" s="22"/>
    </row>
    <row r="945" ht="13.5" customHeight="1">
      <c r="G945" s="22"/>
    </row>
    <row r="946" ht="13.5" customHeight="1">
      <c r="G946" s="22"/>
    </row>
    <row r="947" ht="13.5" customHeight="1">
      <c r="G947" s="22"/>
    </row>
    <row r="948" ht="13.5" customHeight="1">
      <c r="G948" s="22"/>
    </row>
    <row r="949" ht="13.5" customHeight="1">
      <c r="G949" s="22"/>
    </row>
    <row r="950" ht="13.5" customHeight="1">
      <c r="G950" s="22"/>
    </row>
    <row r="951" ht="13.5" customHeight="1">
      <c r="G951" s="22"/>
    </row>
    <row r="952" ht="13.5" customHeight="1">
      <c r="G952" s="22"/>
    </row>
    <row r="953" ht="13.5" customHeight="1">
      <c r="G953" s="22"/>
    </row>
    <row r="954" ht="13.5" customHeight="1">
      <c r="G954" s="22"/>
    </row>
    <row r="955" ht="13.5" customHeight="1">
      <c r="G955" s="22"/>
    </row>
    <row r="956" ht="13.5" customHeight="1">
      <c r="G956" s="22"/>
    </row>
    <row r="957" ht="13.5" customHeight="1">
      <c r="G957" s="22"/>
    </row>
    <row r="958" ht="13.5" customHeight="1">
      <c r="G958" s="22"/>
    </row>
    <row r="959" ht="13.5" customHeight="1">
      <c r="G959" s="22"/>
    </row>
    <row r="960" ht="13.5" customHeight="1">
      <c r="G960" s="22"/>
    </row>
    <row r="961" ht="13.5" customHeight="1">
      <c r="G961" s="22"/>
    </row>
    <row r="962" ht="13.5" customHeight="1">
      <c r="G962" s="22"/>
    </row>
    <row r="963" ht="13.5" customHeight="1">
      <c r="G963" s="22"/>
    </row>
    <row r="964" ht="13.5" customHeight="1">
      <c r="G964" s="22"/>
    </row>
    <row r="965" ht="13.5" customHeight="1">
      <c r="G965" s="22"/>
    </row>
    <row r="966" ht="13.5" customHeight="1">
      <c r="G966" s="22"/>
    </row>
    <row r="967" ht="13.5" customHeight="1">
      <c r="G967" s="22"/>
    </row>
    <row r="968" ht="13.5" customHeight="1">
      <c r="G968" s="22"/>
    </row>
    <row r="969" ht="13.5" customHeight="1">
      <c r="G969" s="22"/>
    </row>
    <row r="970" ht="13.5" customHeight="1">
      <c r="G970" s="22"/>
    </row>
    <row r="971" ht="13.5" customHeight="1">
      <c r="G971" s="22"/>
    </row>
    <row r="972" ht="13.5" customHeight="1">
      <c r="G972" s="22"/>
    </row>
    <row r="973" ht="13.5" customHeight="1">
      <c r="G973" s="22"/>
    </row>
    <row r="974" ht="13.5" customHeight="1">
      <c r="G974" s="22"/>
    </row>
    <row r="975" ht="13.5" customHeight="1">
      <c r="G975" s="22"/>
    </row>
    <row r="976" ht="13.5" customHeight="1">
      <c r="G976" s="22"/>
    </row>
    <row r="977" ht="13.5" customHeight="1">
      <c r="G977" s="22"/>
    </row>
    <row r="978" ht="13.5" customHeight="1">
      <c r="G978" s="22"/>
    </row>
    <row r="979" ht="13.5" customHeight="1">
      <c r="G979" s="22"/>
    </row>
    <row r="980" ht="13.5" customHeight="1">
      <c r="G980" s="22"/>
    </row>
    <row r="981" ht="13.5" customHeight="1">
      <c r="G981" s="22"/>
    </row>
    <row r="982" ht="13.5" customHeight="1">
      <c r="G982" s="22"/>
    </row>
    <row r="983" ht="13.5" customHeight="1">
      <c r="G983" s="22"/>
    </row>
    <row r="984" ht="13.5" customHeight="1">
      <c r="G984" s="22"/>
    </row>
    <row r="985" ht="13.5" customHeight="1">
      <c r="G985" s="22"/>
    </row>
    <row r="986" ht="13.5" customHeight="1">
      <c r="G986" s="22"/>
    </row>
    <row r="987" ht="13.5" customHeight="1">
      <c r="G987" s="22"/>
    </row>
    <row r="988" ht="13.5" customHeight="1">
      <c r="G988" s="22"/>
    </row>
    <row r="989" ht="13.5" customHeight="1">
      <c r="G989" s="22"/>
    </row>
    <row r="990" ht="13.5" customHeight="1">
      <c r="G990" s="22"/>
    </row>
    <row r="991" ht="13.5" customHeight="1">
      <c r="G991" s="22"/>
    </row>
    <row r="992" ht="13.5" customHeight="1">
      <c r="G992" s="22"/>
    </row>
    <row r="993" ht="13.5" customHeight="1">
      <c r="G993" s="22"/>
    </row>
    <row r="994" ht="13.5" customHeight="1">
      <c r="G994" s="22"/>
    </row>
    <row r="995" ht="13.5" customHeight="1">
      <c r="G995" s="22"/>
    </row>
    <row r="996" ht="13.5" customHeight="1">
      <c r="G996" s="22"/>
    </row>
    <row r="997" ht="13.5" customHeight="1">
      <c r="G997" s="22"/>
    </row>
    <row r="998" ht="13.5" customHeight="1">
      <c r="G998" s="22"/>
    </row>
    <row r="999" ht="13.5" customHeight="1">
      <c r="G999" s="22"/>
    </row>
    <row r="1000" ht="13.5" customHeight="1">
      <c r="G1000" s="22"/>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3.38"/>
    <col customWidth="1" min="3" max="3" width="22.88"/>
    <col customWidth="1" min="4" max="4" width="13.13"/>
    <col customWidth="1" min="5" max="5" width="11.75"/>
    <col customWidth="1" min="6" max="6" width="8.0"/>
    <col customWidth="1" min="7" max="7" width="15.88"/>
    <col customWidth="1" min="8" max="8" width="20.75"/>
    <col customWidth="1" min="9" max="9" width="19.5"/>
    <col customWidth="1" min="10" max="10" width="17.13"/>
    <col customWidth="1" min="11" max="11" width="17.63"/>
    <col customWidth="1" min="12" max="12" width="27.88"/>
    <col customWidth="1" min="13" max="13" width="24.75"/>
    <col customWidth="1" min="14" max="14" width="14.25"/>
    <col customWidth="1" min="15" max="15" width="26.88"/>
    <col customWidth="1" min="16" max="16" width="22.13"/>
    <col customWidth="1" min="17" max="17" width="19.0"/>
    <col customWidth="1" min="18" max="18" width="28.38"/>
    <col customWidth="1" min="19" max="19" width="23.13"/>
    <col customWidth="1" min="20" max="20" width="17.75"/>
    <col customWidth="1" min="21" max="21" width="19.88"/>
    <col customWidth="1" min="22" max="22" width="34.5"/>
    <col customWidth="1" min="23" max="23" width="24.13"/>
    <col customWidth="1" min="24" max="24" width="26.0"/>
    <col customWidth="1" min="25" max="25" width="24.75"/>
    <col customWidth="1" min="26" max="26" width="22.5"/>
    <col customWidth="1" min="27" max="27" width="26.0"/>
    <col customWidth="1" min="28" max="28" width="22.63"/>
    <col customWidth="1" min="29" max="29" width="16.5"/>
    <col customWidth="1" min="30" max="30" width="21.25"/>
    <col customWidth="1" min="31" max="31" width="33.0"/>
    <col customWidth="1" min="32" max="32" width="49.25"/>
    <col customWidth="1" min="33" max="33" width="26.38"/>
    <col customWidth="1" min="34" max="34" width="25.13"/>
    <col customWidth="1" min="35" max="35" width="42.13"/>
    <col customWidth="1" min="36" max="36" width="38.63"/>
  </cols>
  <sheetData>
    <row r="1" ht="21.0" customHeight="1">
      <c r="A1" s="11" t="s">
        <v>241</v>
      </c>
      <c r="B1" s="12"/>
      <c r="C1" s="12"/>
      <c r="D1" s="12"/>
      <c r="E1" s="12"/>
      <c r="F1" s="12"/>
      <c r="G1" s="12"/>
      <c r="H1" s="12"/>
      <c r="I1" s="12"/>
    </row>
    <row r="2" ht="21.0" customHeight="1">
      <c r="A2" s="11"/>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ht="13.5" customHeight="1">
      <c r="A3" s="34" t="s">
        <v>15</v>
      </c>
      <c r="B3" s="34" t="s">
        <v>16</v>
      </c>
      <c r="C3" s="34" t="s">
        <v>17</v>
      </c>
      <c r="D3" s="34" t="s">
        <v>18</v>
      </c>
      <c r="E3" s="34" t="s">
        <v>19</v>
      </c>
      <c r="F3" s="34" t="s">
        <v>20</v>
      </c>
      <c r="G3" s="34" t="s">
        <v>21</v>
      </c>
      <c r="H3" s="34" t="s">
        <v>22</v>
      </c>
      <c r="I3" s="34" t="s">
        <v>242</v>
      </c>
      <c r="J3" s="34" t="s">
        <v>243</v>
      </c>
      <c r="K3" s="34" t="s">
        <v>244</v>
      </c>
      <c r="L3" s="34" t="s">
        <v>245</v>
      </c>
      <c r="M3" s="34" t="s">
        <v>27</v>
      </c>
      <c r="N3" s="34" t="s">
        <v>28</v>
      </c>
      <c r="O3" s="34" t="s">
        <v>29</v>
      </c>
      <c r="P3" s="35" t="s">
        <v>30</v>
      </c>
      <c r="Q3" s="34" t="s">
        <v>31</v>
      </c>
      <c r="R3" s="34" t="s">
        <v>32</v>
      </c>
      <c r="S3" s="34" t="s">
        <v>33</v>
      </c>
      <c r="T3" s="34" t="s">
        <v>34</v>
      </c>
      <c r="U3" s="34" t="s">
        <v>246</v>
      </c>
      <c r="V3" s="34" t="s">
        <v>36</v>
      </c>
      <c r="W3" s="34" t="s">
        <v>37</v>
      </c>
      <c r="X3" s="34" t="s">
        <v>38</v>
      </c>
      <c r="Y3" s="35" t="s">
        <v>39</v>
      </c>
      <c r="Z3" s="34" t="s">
        <v>40</v>
      </c>
      <c r="AA3" s="34" t="s">
        <v>41</v>
      </c>
      <c r="AB3" s="34" t="s">
        <v>42</v>
      </c>
      <c r="AC3" s="34" t="s">
        <v>43</v>
      </c>
      <c r="AD3" s="34" t="s">
        <v>44</v>
      </c>
      <c r="AE3" s="34" t="s">
        <v>45</v>
      </c>
      <c r="AF3" s="34" t="s">
        <v>247</v>
      </c>
      <c r="AG3" s="34" t="s">
        <v>47</v>
      </c>
      <c r="AH3" s="35" t="s">
        <v>48</v>
      </c>
      <c r="AI3" s="34" t="s">
        <v>49</v>
      </c>
      <c r="AJ3" s="34" t="s">
        <v>248</v>
      </c>
    </row>
    <row r="4" ht="13.5" customHeight="1">
      <c r="A4" s="36">
        <v>16.0</v>
      </c>
      <c r="B4" s="36" t="s">
        <v>249</v>
      </c>
      <c r="C4" s="36" t="s">
        <v>250</v>
      </c>
      <c r="D4" s="36" t="s">
        <v>52</v>
      </c>
      <c r="E4" s="36" t="s">
        <v>53</v>
      </c>
      <c r="F4" s="36">
        <v>3.0</v>
      </c>
      <c r="G4" s="36">
        <v>1.0</v>
      </c>
      <c r="H4" s="37">
        <v>8.0</v>
      </c>
      <c r="I4" s="37">
        <v>13.0</v>
      </c>
      <c r="J4" s="38">
        <v>1.625</v>
      </c>
      <c r="K4" s="38">
        <v>162.5</v>
      </c>
      <c r="L4" s="39">
        <v>21.0</v>
      </c>
      <c r="M4" s="39">
        <v>45.0</v>
      </c>
      <c r="N4" s="39" t="s">
        <v>100</v>
      </c>
      <c r="O4" s="39" t="s">
        <v>75</v>
      </c>
      <c r="P4" s="40">
        <v>41.5</v>
      </c>
      <c r="Q4" s="38">
        <v>7500.0</v>
      </c>
      <c r="R4" s="38">
        <v>2490000.0</v>
      </c>
      <c r="S4" s="38">
        <v>0.0</v>
      </c>
      <c r="T4" s="38">
        <v>0.0</v>
      </c>
      <c r="U4" s="38">
        <v>390000.0</v>
      </c>
      <c r="V4" s="38">
        <v>2880000.0</v>
      </c>
      <c r="W4" s="38">
        <v>0.0</v>
      </c>
      <c r="X4" s="38">
        <v>2880000.0</v>
      </c>
      <c r="Y4" s="40">
        <v>0.0</v>
      </c>
      <c r="Z4" s="38">
        <v>388000.0</v>
      </c>
      <c r="AA4" s="38">
        <v>0.0</v>
      </c>
      <c r="AB4" s="38">
        <v>50000.0</v>
      </c>
      <c r="AC4" s="38">
        <v>0.0</v>
      </c>
      <c r="AD4" s="38">
        <v>0.0</v>
      </c>
      <c r="AE4" s="38">
        <v>700000.0</v>
      </c>
      <c r="AF4" s="38">
        <v>1742000.0</v>
      </c>
      <c r="AG4" s="38">
        <v>2442000.0</v>
      </c>
      <c r="AH4" s="41"/>
      <c r="AI4" s="39" t="s">
        <v>251</v>
      </c>
      <c r="AJ4" s="39" t="s">
        <v>252</v>
      </c>
    </row>
    <row r="5" ht="13.5" customHeight="1">
      <c r="A5" s="36">
        <v>22.0</v>
      </c>
      <c r="B5" s="36" t="s">
        <v>74</v>
      </c>
      <c r="C5" s="36" t="s">
        <v>59</v>
      </c>
      <c r="D5" s="36" t="s">
        <v>52</v>
      </c>
      <c r="E5" s="36" t="s">
        <v>53</v>
      </c>
      <c r="F5" s="36">
        <v>4.0</v>
      </c>
      <c r="G5" s="36">
        <v>2.0</v>
      </c>
      <c r="H5" s="37">
        <v>3.6</v>
      </c>
      <c r="I5" s="36"/>
      <c r="J5" s="39"/>
      <c r="K5" s="39"/>
      <c r="L5" s="39">
        <v>21.0</v>
      </c>
      <c r="M5" s="39">
        <v>45.0</v>
      </c>
      <c r="N5" s="39" t="s">
        <v>72</v>
      </c>
      <c r="O5" s="39" t="s">
        <v>75</v>
      </c>
      <c r="P5" s="40">
        <v>48.4722222222222</v>
      </c>
      <c r="Q5" s="38">
        <v>7500.0</v>
      </c>
      <c r="R5" s="38">
        <v>1308750.0</v>
      </c>
      <c r="S5" s="39"/>
      <c r="T5" s="39"/>
      <c r="U5" s="38">
        <v>0.0</v>
      </c>
      <c r="V5" s="38">
        <v>1308750.0</v>
      </c>
      <c r="W5" s="38">
        <v>0.0</v>
      </c>
      <c r="X5" s="38">
        <v>1308750.0</v>
      </c>
      <c r="Y5" s="40">
        <v>0.0</v>
      </c>
      <c r="Z5" s="38">
        <v>101400.0</v>
      </c>
      <c r="AA5" s="38">
        <v>0.0</v>
      </c>
      <c r="AB5" s="38">
        <v>0.0</v>
      </c>
      <c r="AC5" s="38">
        <v>0.0</v>
      </c>
      <c r="AD5" s="38">
        <v>0.0</v>
      </c>
      <c r="AE5" s="38">
        <v>0.0</v>
      </c>
      <c r="AF5" s="38">
        <v>1207350.0</v>
      </c>
      <c r="AG5" s="38">
        <v>1207350.0</v>
      </c>
      <c r="AH5" s="41"/>
      <c r="AI5" s="39" t="s">
        <v>253</v>
      </c>
      <c r="AJ5" s="39" t="s">
        <v>254</v>
      </c>
    </row>
    <row r="6" ht="13.5" customHeight="1">
      <c r="A6" s="36">
        <v>29.0</v>
      </c>
      <c r="B6" s="36" t="s">
        <v>88</v>
      </c>
      <c r="C6" s="36" t="s">
        <v>255</v>
      </c>
      <c r="D6" s="36" t="s">
        <v>52</v>
      </c>
      <c r="E6" s="36" t="s">
        <v>71</v>
      </c>
      <c r="F6" s="36">
        <v>6.0</v>
      </c>
      <c r="G6" s="36">
        <v>1.0</v>
      </c>
      <c r="H6" s="37">
        <v>3.28</v>
      </c>
      <c r="I6" s="37">
        <v>10.0</v>
      </c>
      <c r="J6" s="38">
        <v>3.04878048780488</v>
      </c>
      <c r="K6" s="38">
        <v>304.878048780488</v>
      </c>
      <c r="L6" s="39">
        <v>21.0</v>
      </c>
      <c r="M6" s="39">
        <v>45.0</v>
      </c>
      <c r="N6" s="39" t="s">
        <v>72</v>
      </c>
      <c r="O6" s="39" t="s">
        <v>75</v>
      </c>
      <c r="P6" s="40">
        <v>37.1951219512195</v>
      </c>
      <c r="Q6" s="38">
        <v>6000.0</v>
      </c>
      <c r="R6" s="38">
        <v>732000.0</v>
      </c>
      <c r="S6" s="38">
        <v>15000.0</v>
      </c>
      <c r="T6" s="38">
        <v>120000.0</v>
      </c>
      <c r="U6" s="38">
        <v>100000.0</v>
      </c>
      <c r="V6" s="38">
        <v>832000.0</v>
      </c>
      <c r="W6" s="38">
        <v>270000.0</v>
      </c>
      <c r="X6" s="38">
        <v>562000.0</v>
      </c>
      <c r="Y6" s="40">
        <v>0.0</v>
      </c>
      <c r="Z6" s="38">
        <v>119000.0</v>
      </c>
      <c r="AA6" s="38">
        <v>0.0</v>
      </c>
      <c r="AB6" s="38">
        <v>70000.0</v>
      </c>
      <c r="AC6" s="38">
        <v>0.0</v>
      </c>
      <c r="AD6" s="38">
        <v>0.0</v>
      </c>
      <c r="AE6" s="38">
        <v>0.0</v>
      </c>
      <c r="AF6" s="38">
        <v>373000.0</v>
      </c>
      <c r="AG6" s="38">
        <v>373000.0</v>
      </c>
      <c r="AH6" s="41"/>
      <c r="AI6" s="39" t="s">
        <v>256</v>
      </c>
      <c r="AJ6" s="39" t="s">
        <v>257</v>
      </c>
    </row>
    <row r="7" ht="13.5" customHeight="1">
      <c r="A7" s="36">
        <v>32.0</v>
      </c>
      <c r="B7" s="36" t="s">
        <v>258</v>
      </c>
      <c r="C7" s="36" t="s">
        <v>259</v>
      </c>
      <c r="D7" s="36" t="s">
        <v>260</v>
      </c>
      <c r="E7" s="36" t="s">
        <v>261</v>
      </c>
      <c r="F7" s="36">
        <v>7.0</v>
      </c>
      <c r="G7" s="36">
        <v>1.0</v>
      </c>
      <c r="H7" s="37">
        <v>3.6</v>
      </c>
      <c r="I7" s="37">
        <v>10.0</v>
      </c>
      <c r="J7" s="38">
        <v>2.77777777777778</v>
      </c>
      <c r="K7" s="38">
        <v>277.777777777778</v>
      </c>
      <c r="L7" s="39">
        <v>21.0</v>
      </c>
      <c r="M7" s="39">
        <v>45.0</v>
      </c>
      <c r="N7" s="39" t="s">
        <v>262</v>
      </c>
      <c r="O7" s="39" t="s">
        <v>75</v>
      </c>
      <c r="P7" s="40">
        <v>38.7361111111111</v>
      </c>
      <c r="Q7" s="38">
        <v>6600.0</v>
      </c>
      <c r="R7" s="38">
        <v>920370.0</v>
      </c>
      <c r="S7" s="38">
        <v>0.0</v>
      </c>
      <c r="T7" s="39"/>
      <c r="U7" s="38">
        <v>0.0</v>
      </c>
      <c r="V7" s="38">
        <v>920370.0</v>
      </c>
      <c r="W7" s="38">
        <v>0.0</v>
      </c>
      <c r="X7" s="38">
        <v>920370.0</v>
      </c>
      <c r="Y7" s="40">
        <v>0.0</v>
      </c>
      <c r="Z7" s="38">
        <v>169800.0</v>
      </c>
      <c r="AA7" s="38">
        <v>6000.0</v>
      </c>
      <c r="AB7" s="38">
        <v>30000.0</v>
      </c>
      <c r="AC7" s="38">
        <v>0.0</v>
      </c>
      <c r="AD7" s="38">
        <v>0.0</v>
      </c>
      <c r="AE7" s="38">
        <v>0.0</v>
      </c>
      <c r="AF7" s="38">
        <v>714570.0</v>
      </c>
      <c r="AG7" s="38">
        <v>714570.0</v>
      </c>
      <c r="AH7" s="41"/>
      <c r="AI7" s="39" t="s">
        <v>263</v>
      </c>
      <c r="AJ7" s="39" t="s">
        <v>257</v>
      </c>
    </row>
    <row r="8" ht="13.5" customHeight="1">
      <c r="A8" s="36">
        <v>48.0</v>
      </c>
      <c r="B8" s="36" t="s">
        <v>104</v>
      </c>
      <c r="C8" s="36" t="s">
        <v>264</v>
      </c>
      <c r="D8" s="36" t="s">
        <v>106</v>
      </c>
      <c r="E8" s="36" t="s">
        <v>107</v>
      </c>
      <c r="F8" s="36">
        <v>42.0</v>
      </c>
      <c r="G8" s="36">
        <v>2.0</v>
      </c>
      <c r="H8" s="37">
        <v>2.45</v>
      </c>
      <c r="I8" s="37">
        <v>5.0</v>
      </c>
      <c r="J8" s="38">
        <v>2.04081632653061</v>
      </c>
      <c r="K8" s="38">
        <v>204.081632653061</v>
      </c>
      <c r="L8" s="39">
        <v>21.0</v>
      </c>
      <c r="M8" s="39">
        <v>45.0</v>
      </c>
      <c r="N8" s="39" t="s">
        <v>72</v>
      </c>
      <c r="O8" s="39" t="s">
        <v>75</v>
      </c>
      <c r="P8" s="40">
        <v>23.469387755102</v>
      </c>
      <c r="Q8" s="38">
        <v>6000.0</v>
      </c>
      <c r="R8" s="38">
        <v>345000.0</v>
      </c>
      <c r="S8" s="38">
        <v>25000.0</v>
      </c>
      <c r="T8" s="38">
        <v>17500.0</v>
      </c>
      <c r="U8" s="38">
        <v>0.0</v>
      </c>
      <c r="V8" s="38">
        <v>345000.0</v>
      </c>
      <c r="W8" s="38">
        <v>142500.0</v>
      </c>
      <c r="X8" s="38">
        <v>202500.0</v>
      </c>
      <c r="Y8" s="40">
        <v>0.0</v>
      </c>
      <c r="Z8" s="38">
        <v>163310.0</v>
      </c>
      <c r="AA8" s="38">
        <v>0.0</v>
      </c>
      <c r="AB8" s="38">
        <v>200018.0</v>
      </c>
      <c r="AC8" s="38">
        <v>0.0</v>
      </c>
      <c r="AD8" s="38">
        <v>0.0</v>
      </c>
      <c r="AE8" s="38">
        <v>58333.3333333333</v>
      </c>
      <c r="AF8" s="38">
        <v>-224161.333333333</v>
      </c>
      <c r="AG8" s="38">
        <v>-165828.0</v>
      </c>
      <c r="AH8" s="41"/>
      <c r="AI8" s="39"/>
      <c r="AJ8" s="39" t="s">
        <v>265</v>
      </c>
    </row>
    <row r="9" ht="13.5" customHeight="1">
      <c r="A9" s="36">
        <v>57.0</v>
      </c>
      <c r="B9" s="36" t="s">
        <v>266</v>
      </c>
      <c r="C9" s="36" t="s">
        <v>267</v>
      </c>
      <c r="D9" s="36" t="s">
        <v>52</v>
      </c>
      <c r="E9" s="36" t="s">
        <v>53</v>
      </c>
      <c r="F9" s="36">
        <v>47.0</v>
      </c>
      <c r="G9" s="36"/>
      <c r="H9" s="37">
        <v>1.92</v>
      </c>
      <c r="I9" s="37">
        <v>4.0</v>
      </c>
      <c r="J9" s="38">
        <v>2.08333333333333</v>
      </c>
      <c r="K9" s="38">
        <v>208.333333333333</v>
      </c>
      <c r="L9" s="39">
        <v>21.0</v>
      </c>
      <c r="M9" s="39">
        <v>45.0</v>
      </c>
      <c r="N9" s="39" t="s">
        <v>72</v>
      </c>
      <c r="O9" s="39" t="s">
        <v>75</v>
      </c>
      <c r="P9" s="40">
        <v>11.1979166666667</v>
      </c>
      <c r="Q9" s="38">
        <v>6000.0</v>
      </c>
      <c r="R9" s="38">
        <v>129000.0</v>
      </c>
      <c r="S9" s="38">
        <v>25000.0</v>
      </c>
      <c r="T9" s="39"/>
      <c r="U9" s="38">
        <v>160000.0</v>
      </c>
      <c r="V9" s="38">
        <v>289000.0</v>
      </c>
      <c r="W9" s="38">
        <v>100000.0</v>
      </c>
      <c r="X9" s="38">
        <v>189000.0</v>
      </c>
      <c r="Y9" s="40">
        <v>70000.0</v>
      </c>
      <c r="Z9" s="38">
        <v>136896.0</v>
      </c>
      <c r="AA9" s="38">
        <v>0.0</v>
      </c>
      <c r="AB9" s="38">
        <v>214972.8</v>
      </c>
      <c r="AC9" s="38">
        <v>0.0</v>
      </c>
      <c r="AD9" s="38">
        <v>0.0</v>
      </c>
      <c r="AE9" s="38">
        <v>30833.3333333333</v>
      </c>
      <c r="AF9" s="38">
        <v>-198702.133333333</v>
      </c>
      <c r="AG9" s="38">
        <v>-167868.8</v>
      </c>
      <c r="AH9" s="41"/>
      <c r="AI9" s="39" t="s">
        <v>115</v>
      </c>
      <c r="AJ9" s="39" t="s">
        <v>268</v>
      </c>
    </row>
    <row r="10" ht="13.5" customHeight="1">
      <c r="A10" s="36">
        <v>59.0</v>
      </c>
      <c r="B10" s="36" t="s">
        <v>118</v>
      </c>
      <c r="C10" s="36" t="s">
        <v>269</v>
      </c>
      <c r="D10" s="36" t="s">
        <v>120</v>
      </c>
      <c r="E10" s="36" t="s">
        <v>120</v>
      </c>
      <c r="F10" s="36">
        <v>48.0</v>
      </c>
      <c r="G10" s="36">
        <v>3.0</v>
      </c>
      <c r="H10" s="37">
        <v>1.58</v>
      </c>
      <c r="I10" s="37">
        <v>3.0</v>
      </c>
      <c r="J10" s="38">
        <v>1.89873417721519</v>
      </c>
      <c r="K10" s="38">
        <v>189.873417721519</v>
      </c>
      <c r="L10" s="39">
        <v>21.0</v>
      </c>
      <c r="M10" s="39">
        <v>45.0</v>
      </c>
      <c r="N10" s="39" t="s">
        <v>72</v>
      </c>
      <c r="O10" s="39" t="s">
        <v>75</v>
      </c>
      <c r="P10" s="40">
        <v>20.5696202531646</v>
      </c>
      <c r="Q10" s="38">
        <v>6000.0</v>
      </c>
      <c r="R10" s="38">
        <v>195000.0</v>
      </c>
      <c r="S10" s="38">
        <v>25000.0</v>
      </c>
      <c r="T10" s="39"/>
      <c r="U10" s="38">
        <v>105000.0</v>
      </c>
      <c r="V10" s="38">
        <v>300000.0</v>
      </c>
      <c r="W10" s="38">
        <v>75000.0</v>
      </c>
      <c r="X10" s="38">
        <v>225000.0</v>
      </c>
      <c r="Y10" s="40">
        <v>0.0</v>
      </c>
      <c r="Z10" s="38">
        <v>138584.0</v>
      </c>
      <c r="AA10" s="38">
        <v>0.0</v>
      </c>
      <c r="AB10" s="38">
        <v>200000.8</v>
      </c>
      <c r="AC10" s="38">
        <v>0.0</v>
      </c>
      <c r="AD10" s="38">
        <v>0.0</v>
      </c>
      <c r="AE10" s="38">
        <v>30833.3333333333</v>
      </c>
      <c r="AF10" s="38">
        <v>-144418.133333333</v>
      </c>
      <c r="AG10" s="38">
        <v>-113584.8</v>
      </c>
      <c r="AH10" s="41"/>
      <c r="AI10" s="39"/>
      <c r="AJ10" s="39" t="s">
        <v>265</v>
      </c>
    </row>
    <row r="11" ht="13.5" customHeight="1">
      <c r="A11" s="36">
        <v>64.0</v>
      </c>
      <c r="B11" s="36" t="s">
        <v>270</v>
      </c>
      <c r="C11" s="36" t="s">
        <v>271</v>
      </c>
      <c r="D11" s="36" t="s">
        <v>106</v>
      </c>
      <c r="E11" s="36" t="s">
        <v>106</v>
      </c>
      <c r="F11" s="36">
        <v>55.0</v>
      </c>
      <c r="G11" s="36">
        <v>2.0</v>
      </c>
      <c r="H11" s="37">
        <v>17.19</v>
      </c>
      <c r="I11" s="37">
        <v>8.0</v>
      </c>
      <c r="J11" s="38">
        <v>0.465386852821408</v>
      </c>
      <c r="K11" s="38">
        <v>46.5386852821408</v>
      </c>
      <c r="L11" s="39">
        <v>21.0</v>
      </c>
      <c r="M11" s="39">
        <v>45.0</v>
      </c>
      <c r="N11" s="39" t="s">
        <v>72</v>
      </c>
      <c r="O11" s="39" t="s">
        <v>272</v>
      </c>
      <c r="P11" s="40">
        <v>49.2146596858639</v>
      </c>
      <c r="Q11" s="38">
        <v>6000.0</v>
      </c>
      <c r="R11" s="38">
        <v>5076000.0</v>
      </c>
      <c r="S11" s="38">
        <v>25000.0</v>
      </c>
      <c r="T11" s="39"/>
      <c r="U11" s="38">
        <v>245000.0</v>
      </c>
      <c r="V11" s="38">
        <v>5321000.0</v>
      </c>
      <c r="W11" s="38">
        <v>200000.0</v>
      </c>
      <c r="X11" s="38">
        <v>5121000.0</v>
      </c>
      <c r="Y11" s="40">
        <v>450000.0</v>
      </c>
      <c r="Z11" s="38">
        <v>1551550.0</v>
      </c>
      <c r="AA11" s="38">
        <v>0.0</v>
      </c>
      <c r="AB11" s="38">
        <v>70000.0</v>
      </c>
      <c r="AC11" s="38">
        <v>0.0</v>
      </c>
      <c r="AD11" s="38">
        <v>0.0</v>
      </c>
      <c r="AE11" s="38">
        <v>0.0</v>
      </c>
      <c r="AF11" s="38">
        <v>3499450.0</v>
      </c>
      <c r="AG11" s="38">
        <v>3499450.0</v>
      </c>
      <c r="AH11" s="41" t="s">
        <v>61</v>
      </c>
      <c r="AI11" s="39" t="s">
        <v>273</v>
      </c>
      <c r="AJ11" s="39" t="s">
        <v>274</v>
      </c>
    </row>
    <row r="12" ht="14.25" customHeight="1">
      <c r="A12" s="12"/>
      <c r="B12" s="12"/>
      <c r="C12" s="12"/>
      <c r="D12" s="12"/>
      <c r="E12" s="12"/>
      <c r="F12" s="12"/>
      <c r="G12" s="12"/>
      <c r="H12" s="12"/>
      <c r="I12" s="12"/>
    </row>
    <row r="13" ht="14.25" customHeight="1">
      <c r="A13" s="12"/>
      <c r="B13" s="12"/>
      <c r="C13" s="12"/>
      <c r="D13" s="12"/>
      <c r="E13" s="12"/>
      <c r="F13" s="12"/>
      <c r="G13" s="12"/>
      <c r="H13" s="12"/>
      <c r="I13" s="12"/>
    </row>
    <row r="14" ht="14.25" customHeight="1">
      <c r="A14" s="12"/>
      <c r="B14" s="12"/>
      <c r="C14" s="12"/>
      <c r="D14" s="12"/>
      <c r="E14" s="12"/>
      <c r="F14" s="12"/>
      <c r="G14" s="12"/>
      <c r="H14" s="12"/>
      <c r="I14" s="12"/>
    </row>
    <row r="15" ht="14.25" customHeight="1">
      <c r="A15" s="12"/>
      <c r="B15" s="12"/>
      <c r="C15" s="12"/>
      <c r="D15" s="12"/>
      <c r="E15" s="12"/>
      <c r="F15" s="12"/>
      <c r="G15" s="12"/>
      <c r="H15" s="12"/>
      <c r="I15" s="12"/>
    </row>
    <row r="16" ht="14.25" customHeight="1">
      <c r="A16" s="12"/>
      <c r="B16" s="12"/>
      <c r="C16" s="12"/>
      <c r="D16" s="12"/>
      <c r="E16" s="12"/>
      <c r="F16" s="12"/>
      <c r="G16" s="12"/>
      <c r="H16" s="12"/>
      <c r="I16" s="12"/>
    </row>
    <row r="17" ht="14.25" customHeight="1">
      <c r="A17" s="12"/>
      <c r="B17" s="12"/>
      <c r="C17" s="12"/>
      <c r="D17" s="12"/>
      <c r="E17" s="12"/>
      <c r="F17" s="12"/>
      <c r="G17" s="12"/>
      <c r="H17" s="12"/>
      <c r="I17" s="12"/>
    </row>
    <row r="18" ht="14.25" customHeight="1">
      <c r="A18" s="12"/>
      <c r="B18" s="12"/>
      <c r="C18" s="12"/>
      <c r="D18" s="12"/>
      <c r="E18" s="12"/>
      <c r="F18" s="12"/>
      <c r="G18" s="12"/>
      <c r="H18" s="12"/>
      <c r="I18" s="12"/>
    </row>
    <row r="19" ht="14.25" customHeight="1">
      <c r="A19" s="12"/>
      <c r="B19" s="12"/>
      <c r="C19" s="12"/>
      <c r="D19" s="12"/>
      <c r="E19" s="12"/>
      <c r="F19" s="12"/>
      <c r="G19" s="12"/>
      <c r="H19" s="12"/>
      <c r="I19" s="12"/>
    </row>
    <row r="20" ht="14.25" customHeight="1">
      <c r="A20" s="12"/>
      <c r="B20" s="12"/>
      <c r="C20" s="12"/>
      <c r="D20" s="12"/>
      <c r="E20" s="12"/>
      <c r="F20" s="12"/>
      <c r="G20" s="12"/>
      <c r="H20" s="12"/>
      <c r="I20" s="12"/>
    </row>
    <row r="21" ht="14.25" customHeight="1">
      <c r="A21" s="12"/>
      <c r="B21" s="12"/>
      <c r="C21" s="12"/>
      <c r="D21" s="12"/>
      <c r="E21" s="12"/>
      <c r="F21" s="12"/>
      <c r="G21" s="12"/>
      <c r="H21" s="12"/>
      <c r="I21" s="12"/>
    </row>
    <row r="22" ht="14.25" customHeight="1">
      <c r="A22" s="12"/>
      <c r="B22" s="12"/>
      <c r="C22" s="12"/>
      <c r="D22" s="12"/>
      <c r="E22" s="12"/>
      <c r="F22" s="12"/>
      <c r="G22" s="12"/>
      <c r="H22" s="12"/>
      <c r="I22" s="12"/>
    </row>
    <row r="23" ht="14.25" customHeight="1">
      <c r="A23" s="12"/>
      <c r="B23" s="12"/>
      <c r="C23" s="12"/>
      <c r="D23" s="12"/>
      <c r="E23" s="12"/>
      <c r="F23" s="12"/>
      <c r="G23" s="12"/>
      <c r="H23" s="12"/>
      <c r="I23" s="12"/>
    </row>
    <row r="24" ht="14.25" customHeight="1">
      <c r="A24" s="12"/>
      <c r="B24" s="12"/>
      <c r="C24" s="12"/>
      <c r="D24" s="12"/>
      <c r="E24" s="12"/>
      <c r="F24" s="12"/>
      <c r="G24" s="12"/>
      <c r="H24" s="12"/>
      <c r="I24" s="12"/>
    </row>
    <row r="25" ht="14.25" customHeight="1">
      <c r="A25" s="12"/>
      <c r="B25" s="12"/>
      <c r="C25" s="12"/>
      <c r="D25" s="12"/>
      <c r="E25" s="12"/>
      <c r="F25" s="12"/>
      <c r="G25" s="12"/>
      <c r="H25" s="12"/>
      <c r="I25" s="12"/>
    </row>
    <row r="26" ht="14.25" customHeight="1">
      <c r="A26" s="12"/>
      <c r="B26" s="12"/>
      <c r="C26" s="12"/>
      <c r="D26" s="12"/>
      <c r="E26" s="12"/>
      <c r="F26" s="12"/>
      <c r="G26" s="12"/>
      <c r="H26" s="12"/>
      <c r="I26" s="12"/>
    </row>
    <row r="27" ht="14.25" customHeight="1">
      <c r="A27" s="12"/>
      <c r="B27" s="12"/>
      <c r="C27" s="12"/>
      <c r="D27" s="12"/>
      <c r="E27" s="12"/>
      <c r="F27" s="12"/>
      <c r="G27" s="12"/>
      <c r="H27" s="12"/>
      <c r="I27" s="12"/>
    </row>
    <row r="28" ht="14.25" customHeight="1">
      <c r="A28" s="12"/>
      <c r="B28" s="12"/>
      <c r="C28" s="12"/>
      <c r="D28" s="12"/>
      <c r="E28" s="12"/>
      <c r="F28" s="12"/>
      <c r="G28" s="12"/>
      <c r="H28" s="12"/>
      <c r="I28" s="12"/>
    </row>
    <row r="29" ht="14.25" customHeight="1">
      <c r="A29" s="12"/>
      <c r="B29" s="12"/>
      <c r="C29" s="12"/>
      <c r="D29" s="12"/>
      <c r="E29" s="12"/>
      <c r="F29" s="12"/>
      <c r="G29" s="12"/>
      <c r="H29" s="12"/>
      <c r="I29" s="12"/>
    </row>
    <row r="30" ht="14.25" customHeight="1">
      <c r="A30" s="12"/>
      <c r="B30" s="12"/>
      <c r="C30" s="12"/>
      <c r="D30" s="12"/>
      <c r="E30" s="12"/>
      <c r="F30" s="12"/>
      <c r="G30" s="12"/>
      <c r="H30" s="12"/>
      <c r="I30" s="12"/>
    </row>
    <row r="31" ht="14.25" customHeight="1">
      <c r="A31" s="12"/>
      <c r="B31" s="12"/>
      <c r="C31" s="12"/>
      <c r="D31" s="12"/>
      <c r="E31" s="12"/>
      <c r="F31" s="12"/>
      <c r="G31" s="12"/>
      <c r="H31" s="12"/>
      <c r="I31" s="12"/>
    </row>
    <row r="32" ht="14.25" customHeight="1">
      <c r="A32" s="12"/>
      <c r="B32" s="12"/>
      <c r="C32" s="12"/>
      <c r="D32" s="12"/>
      <c r="E32" s="12"/>
      <c r="F32" s="12"/>
      <c r="G32" s="12"/>
      <c r="H32" s="12"/>
      <c r="I32" s="12"/>
    </row>
    <row r="33" ht="14.25" customHeight="1">
      <c r="A33" s="12"/>
      <c r="B33" s="12"/>
      <c r="C33" s="12"/>
      <c r="D33" s="12"/>
      <c r="E33" s="12"/>
      <c r="F33" s="12"/>
      <c r="G33" s="12"/>
      <c r="H33" s="12"/>
      <c r="I33" s="12"/>
    </row>
    <row r="34" ht="14.25" customHeight="1">
      <c r="A34" s="12"/>
      <c r="B34" s="12"/>
      <c r="C34" s="12"/>
      <c r="D34" s="12"/>
      <c r="E34" s="12"/>
      <c r="F34" s="12"/>
      <c r="G34" s="12"/>
      <c r="H34" s="12"/>
      <c r="I34" s="12"/>
    </row>
    <row r="35" ht="14.25" customHeight="1">
      <c r="A35" s="12"/>
      <c r="B35" s="12"/>
      <c r="C35" s="12"/>
      <c r="D35" s="12"/>
      <c r="E35" s="12"/>
      <c r="F35" s="12"/>
      <c r="G35" s="12"/>
      <c r="H35" s="12"/>
      <c r="I35" s="12"/>
    </row>
    <row r="36" ht="14.25" customHeight="1">
      <c r="A36" s="12"/>
      <c r="B36" s="12"/>
      <c r="C36" s="12"/>
      <c r="D36" s="12"/>
      <c r="E36" s="12"/>
      <c r="F36" s="12"/>
      <c r="G36" s="12"/>
      <c r="H36" s="12"/>
      <c r="I36" s="12"/>
    </row>
    <row r="37" ht="14.25" customHeight="1">
      <c r="A37" s="12"/>
      <c r="B37" s="12"/>
      <c r="C37" s="12"/>
      <c r="D37" s="12"/>
      <c r="E37" s="12"/>
      <c r="F37" s="12"/>
      <c r="G37" s="12"/>
      <c r="H37" s="12"/>
      <c r="I37" s="12"/>
    </row>
    <row r="38" ht="14.25" customHeight="1">
      <c r="A38" s="12"/>
      <c r="B38" s="12"/>
      <c r="C38" s="12"/>
      <c r="D38" s="12"/>
      <c r="E38" s="12"/>
      <c r="F38" s="12"/>
      <c r="G38" s="12"/>
      <c r="H38" s="12"/>
      <c r="I38" s="12"/>
    </row>
    <row r="39" ht="14.25" customHeight="1">
      <c r="A39" s="12"/>
      <c r="B39" s="12"/>
      <c r="C39" s="12"/>
      <c r="D39" s="12"/>
      <c r="E39" s="12"/>
      <c r="F39" s="12"/>
      <c r="G39" s="12"/>
      <c r="H39" s="12"/>
      <c r="I39" s="12"/>
    </row>
    <row r="40" ht="14.25" customHeight="1">
      <c r="A40" s="12"/>
      <c r="B40" s="12"/>
      <c r="C40" s="12"/>
      <c r="D40" s="12"/>
      <c r="E40" s="12"/>
      <c r="F40" s="12"/>
      <c r="G40" s="12"/>
      <c r="H40" s="12"/>
      <c r="I40" s="12"/>
    </row>
    <row r="41" ht="14.25" customHeight="1">
      <c r="A41" s="12"/>
      <c r="B41" s="12"/>
      <c r="C41" s="12"/>
      <c r="D41" s="12"/>
      <c r="E41" s="12"/>
      <c r="F41" s="12"/>
      <c r="G41" s="12"/>
      <c r="H41" s="12"/>
      <c r="I41" s="12"/>
    </row>
    <row r="42" ht="14.25" customHeight="1">
      <c r="A42" s="12"/>
      <c r="B42" s="12"/>
      <c r="C42" s="12"/>
      <c r="D42" s="12"/>
      <c r="E42" s="12"/>
      <c r="F42" s="12"/>
      <c r="G42" s="12"/>
      <c r="H42" s="12"/>
      <c r="I42" s="12"/>
    </row>
    <row r="43" ht="14.25" customHeight="1">
      <c r="A43" s="12"/>
      <c r="B43" s="12"/>
      <c r="C43" s="12"/>
      <c r="D43" s="12"/>
      <c r="E43" s="12"/>
      <c r="F43" s="12"/>
      <c r="G43" s="12"/>
      <c r="H43" s="12"/>
      <c r="I43" s="12"/>
    </row>
    <row r="44" ht="14.25" customHeight="1">
      <c r="A44" s="12"/>
      <c r="B44" s="12"/>
      <c r="C44" s="12"/>
      <c r="D44" s="12"/>
      <c r="E44" s="12"/>
      <c r="F44" s="12"/>
      <c r="G44" s="12"/>
      <c r="H44" s="12"/>
      <c r="I44" s="12"/>
    </row>
    <row r="45" ht="14.25" customHeight="1">
      <c r="A45" s="12"/>
      <c r="B45" s="12"/>
      <c r="C45" s="12"/>
      <c r="D45" s="12"/>
      <c r="E45" s="12"/>
      <c r="F45" s="12"/>
      <c r="G45" s="12"/>
      <c r="H45" s="12"/>
      <c r="I45" s="12"/>
    </row>
    <row r="46" ht="14.25" customHeight="1">
      <c r="A46" s="12"/>
      <c r="B46" s="12"/>
      <c r="C46" s="12"/>
      <c r="D46" s="12"/>
      <c r="E46" s="12"/>
      <c r="F46" s="12"/>
      <c r="G46" s="12"/>
      <c r="H46" s="12"/>
      <c r="I46" s="12"/>
    </row>
    <row r="47" ht="14.25" customHeight="1">
      <c r="A47" s="12"/>
      <c r="B47" s="12"/>
      <c r="C47" s="12"/>
      <c r="D47" s="12"/>
      <c r="E47" s="12"/>
      <c r="F47" s="12"/>
      <c r="G47" s="12"/>
      <c r="H47" s="12"/>
      <c r="I47" s="12"/>
    </row>
    <row r="48" ht="14.25" customHeight="1">
      <c r="A48" s="12"/>
      <c r="B48" s="12"/>
      <c r="C48" s="12"/>
      <c r="D48" s="12"/>
      <c r="E48" s="12"/>
      <c r="F48" s="12"/>
      <c r="G48" s="12"/>
      <c r="H48" s="12"/>
      <c r="I48" s="12"/>
    </row>
    <row r="49" ht="14.25" customHeight="1">
      <c r="A49" s="12"/>
      <c r="B49" s="12"/>
      <c r="C49" s="12"/>
      <c r="D49" s="12"/>
      <c r="E49" s="12"/>
      <c r="F49" s="12"/>
      <c r="G49" s="12"/>
      <c r="H49" s="12"/>
      <c r="I49" s="12"/>
    </row>
    <row r="50" ht="14.25" customHeight="1">
      <c r="A50" s="12"/>
      <c r="B50" s="12"/>
      <c r="C50" s="12"/>
      <c r="D50" s="12"/>
      <c r="E50" s="12"/>
      <c r="F50" s="12"/>
      <c r="G50" s="12"/>
      <c r="H50" s="12"/>
      <c r="I50" s="12"/>
    </row>
    <row r="51" ht="14.25" customHeight="1">
      <c r="A51" s="12"/>
      <c r="B51" s="12"/>
      <c r="C51" s="12"/>
      <c r="D51" s="12"/>
      <c r="E51" s="12"/>
      <c r="F51" s="12"/>
      <c r="G51" s="12"/>
      <c r="H51" s="12"/>
      <c r="I51" s="12"/>
    </row>
    <row r="52" ht="14.25" customHeight="1">
      <c r="A52" s="12"/>
      <c r="B52" s="12"/>
      <c r="C52" s="12"/>
      <c r="D52" s="12"/>
      <c r="E52" s="12"/>
      <c r="F52" s="12"/>
      <c r="G52" s="12"/>
      <c r="H52" s="12"/>
      <c r="I52" s="12"/>
    </row>
    <row r="53" ht="14.25" customHeight="1">
      <c r="A53" s="12"/>
      <c r="B53" s="12"/>
      <c r="C53" s="12"/>
      <c r="D53" s="12"/>
      <c r="E53" s="12"/>
      <c r="F53" s="12"/>
      <c r="G53" s="12"/>
      <c r="H53" s="12"/>
      <c r="I53" s="12"/>
    </row>
    <row r="54" ht="14.25" customHeight="1">
      <c r="A54" s="12"/>
      <c r="B54" s="12"/>
      <c r="C54" s="12"/>
      <c r="D54" s="12"/>
      <c r="E54" s="12"/>
      <c r="F54" s="12"/>
      <c r="G54" s="12"/>
      <c r="H54" s="12"/>
      <c r="I54" s="12"/>
    </row>
    <row r="55" ht="14.25" customHeight="1">
      <c r="A55" s="12"/>
      <c r="B55" s="12"/>
      <c r="C55" s="12"/>
      <c r="D55" s="12"/>
      <c r="E55" s="12"/>
      <c r="F55" s="12"/>
      <c r="G55" s="12"/>
      <c r="H55" s="12"/>
      <c r="I55" s="12"/>
    </row>
    <row r="56" ht="14.25" customHeight="1">
      <c r="A56" s="12"/>
      <c r="B56" s="12"/>
      <c r="C56" s="12"/>
      <c r="D56" s="12"/>
      <c r="E56" s="12"/>
      <c r="F56" s="12"/>
      <c r="G56" s="12"/>
      <c r="H56" s="12"/>
      <c r="I56" s="12"/>
    </row>
    <row r="57" ht="14.25" customHeight="1">
      <c r="A57" s="12"/>
      <c r="B57" s="12"/>
      <c r="C57" s="12"/>
      <c r="D57" s="12"/>
      <c r="E57" s="12"/>
      <c r="F57" s="12"/>
      <c r="G57" s="12"/>
      <c r="H57" s="12"/>
      <c r="I57" s="12"/>
    </row>
    <row r="58" ht="14.25" customHeight="1">
      <c r="A58" s="12"/>
      <c r="B58" s="12"/>
      <c r="C58" s="12"/>
      <c r="D58" s="12"/>
      <c r="E58" s="12"/>
      <c r="F58" s="12"/>
      <c r="G58" s="12"/>
      <c r="H58" s="12"/>
      <c r="I58" s="12"/>
    </row>
    <row r="59" ht="14.25" customHeight="1">
      <c r="A59" s="12"/>
      <c r="B59" s="12"/>
      <c r="C59" s="12"/>
      <c r="D59" s="12"/>
      <c r="E59" s="12"/>
      <c r="F59" s="12"/>
      <c r="G59" s="12"/>
      <c r="H59" s="12"/>
      <c r="I59" s="12"/>
    </row>
    <row r="60" ht="14.25" customHeight="1">
      <c r="A60" s="12"/>
      <c r="B60" s="12"/>
      <c r="C60" s="12"/>
      <c r="D60" s="12"/>
      <c r="E60" s="12"/>
      <c r="F60" s="12"/>
      <c r="G60" s="12"/>
      <c r="H60" s="12"/>
      <c r="I60" s="12"/>
    </row>
    <row r="61" ht="14.25" customHeight="1">
      <c r="A61" s="12"/>
      <c r="B61" s="12"/>
      <c r="C61" s="12"/>
      <c r="D61" s="12"/>
      <c r="E61" s="12"/>
      <c r="F61" s="12"/>
      <c r="G61" s="12"/>
      <c r="H61" s="12"/>
      <c r="I61" s="12"/>
    </row>
    <row r="62" ht="14.25" customHeight="1">
      <c r="A62" s="12"/>
      <c r="B62" s="12"/>
      <c r="C62" s="12"/>
      <c r="D62" s="12"/>
      <c r="E62" s="12"/>
      <c r="F62" s="12"/>
      <c r="G62" s="12"/>
      <c r="H62" s="12"/>
      <c r="I62" s="12"/>
    </row>
    <row r="63" ht="14.25" customHeight="1">
      <c r="A63" s="12"/>
      <c r="B63" s="12"/>
      <c r="C63" s="12"/>
      <c r="D63" s="12"/>
      <c r="E63" s="12"/>
      <c r="F63" s="12"/>
      <c r="G63" s="12"/>
      <c r="H63" s="12"/>
      <c r="I63" s="12"/>
    </row>
    <row r="64" ht="14.25" customHeight="1">
      <c r="A64" s="12"/>
      <c r="B64" s="12"/>
      <c r="C64" s="12"/>
      <c r="D64" s="12"/>
      <c r="E64" s="12"/>
      <c r="F64" s="12"/>
      <c r="G64" s="12"/>
      <c r="H64" s="12"/>
      <c r="I64" s="12"/>
    </row>
    <row r="65" ht="14.25" customHeight="1">
      <c r="A65" s="12"/>
      <c r="B65" s="12"/>
      <c r="C65" s="12"/>
      <c r="D65" s="12"/>
      <c r="E65" s="12"/>
      <c r="F65" s="12"/>
      <c r="G65" s="12"/>
      <c r="H65" s="12"/>
      <c r="I65" s="12"/>
    </row>
    <row r="66" ht="14.25" customHeight="1">
      <c r="A66" s="12"/>
      <c r="B66" s="12"/>
      <c r="C66" s="12"/>
      <c r="D66" s="12"/>
      <c r="E66" s="12"/>
      <c r="F66" s="12"/>
      <c r="G66" s="12"/>
      <c r="H66" s="12"/>
      <c r="I66" s="12"/>
    </row>
    <row r="67" ht="14.25" customHeight="1">
      <c r="A67" s="12"/>
      <c r="B67" s="12"/>
      <c r="C67" s="12"/>
      <c r="D67" s="12"/>
      <c r="E67" s="12"/>
      <c r="F67" s="12"/>
      <c r="G67" s="12"/>
      <c r="H67" s="12"/>
      <c r="I67" s="12"/>
    </row>
    <row r="68" ht="14.25" customHeight="1">
      <c r="A68" s="12"/>
      <c r="B68" s="12"/>
      <c r="C68" s="12"/>
      <c r="D68" s="12"/>
      <c r="E68" s="12"/>
      <c r="F68" s="12"/>
      <c r="G68" s="12"/>
      <c r="H68" s="12"/>
      <c r="I68" s="12"/>
    </row>
    <row r="69" ht="14.25" customHeight="1">
      <c r="A69" s="12"/>
      <c r="B69" s="12"/>
      <c r="C69" s="12"/>
      <c r="D69" s="12"/>
      <c r="E69" s="12"/>
      <c r="F69" s="12"/>
      <c r="G69" s="12"/>
      <c r="H69" s="12"/>
      <c r="I69" s="12"/>
    </row>
    <row r="70" ht="14.25" customHeight="1">
      <c r="A70" s="12"/>
      <c r="B70" s="12"/>
      <c r="C70" s="12"/>
      <c r="D70" s="12"/>
      <c r="E70" s="12"/>
      <c r="F70" s="12"/>
      <c r="G70" s="12"/>
      <c r="H70" s="12"/>
      <c r="I70" s="12"/>
    </row>
    <row r="71" ht="14.25" customHeight="1">
      <c r="A71" s="12"/>
      <c r="B71" s="12"/>
      <c r="C71" s="12"/>
      <c r="D71" s="12"/>
      <c r="E71" s="12"/>
      <c r="F71" s="12"/>
      <c r="G71" s="12"/>
      <c r="H71" s="12"/>
      <c r="I71" s="12"/>
    </row>
    <row r="72" ht="14.25" customHeight="1">
      <c r="A72" s="12"/>
      <c r="B72" s="12"/>
      <c r="C72" s="12"/>
      <c r="D72" s="12"/>
      <c r="E72" s="12"/>
      <c r="F72" s="12"/>
      <c r="G72" s="12"/>
      <c r="H72" s="12"/>
      <c r="I72" s="12"/>
    </row>
    <row r="73" ht="14.25" customHeight="1">
      <c r="A73" s="12"/>
      <c r="B73" s="12"/>
      <c r="C73" s="12"/>
      <c r="D73" s="12"/>
      <c r="E73" s="12"/>
      <c r="F73" s="12"/>
      <c r="G73" s="12"/>
      <c r="H73" s="12"/>
      <c r="I73" s="12"/>
    </row>
    <row r="74" ht="14.25" customHeight="1">
      <c r="A74" s="12"/>
      <c r="B74" s="12"/>
      <c r="C74" s="12"/>
      <c r="D74" s="12"/>
      <c r="E74" s="12"/>
      <c r="F74" s="12"/>
      <c r="G74" s="12"/>
      <c r="H74" s="12"/>
      <c r="I74" s="12"/>
    </row>
    <row r="75" ht="14.25" customHeight="1">
      <c r="A75" s="12"/>
      <c r="B75" s="12"/>
      <c r="C75" s="12"/>
      <c r="D75" s="12"/>
      <c r="E75" s="12"/>
      <c r="F75" s="12"/>
      <c r="G75" s="12"/>
      <c r="H75" s="12"/>
      <c r="I75" s="12"/>
    </row>
    <row r="76" ht="14.25" customHeight="1">
      <c r="A76" s="12"/>
      <c r="B76" s="12"/>
      <c r="C76" s="12"/>
      <c r="D76" s="12"/>
      <c r="E76" s="12"/>
      <c r="F76" s="12"/>
      <c r="G76" s="12"/>
      <c r="H76" s="12"/>
      <c r="I76" s="12"/>
    </row>
    <row r="77" ht="14.25" customHeight="1">
      <c r="A77" s="12"/>
      <c r="B77" s="12"/>
      <c r="C77" s="12"/>
      <c r="D77" s="12"/>
      <c r="E77" s="12"/>
      <c r="F77" s="12"/>
      <c r="G77" s="12"/>
      <c r="H77" s="12"/>
      <c r="I77" s="12"/>
    </row>
    <row r="78" ht="14.25" customHeight="1">
      <c r="A78" s="12"/>
      <c r="B78" s="12"/>
      <c r="C78" s="12"/>
      <c r="D78" s="12"/>
      <c r="E78" s="12"/>
      <c r="F78" s="12"/>
      <c r="G78" s="12"/>
      <c r="H78" s="12"/>
      <c r="I78" s="12"/>
    </row>
    <row r="79" ht="14.25" customHeight="1">
      <c r="A79" s="12"/>
      <c r="B79" s="12"/>
      <c r="C79" s="12"/>
      <c r="D79" s="12"/>
      <c r="E79" s="12"/>
      <c r="F79" s="12"/>
      <c r="G79" s="12"/>
      <c r="H79" s="12"/>
      <c r="I79" s="12"/>
    </row>
    <row r="80" ht="14.25" customHeight="1">
      <c r="A80" s="12"/>
      <c r="B80" s="12"/>
      <c r="C80" s="12"/>
      <c r="D80" s="12"/>
      <c r="E80" s="12"/>
      <c r="F80" s="12"/>
      <c r="G80" s="12"/>
      <c r="H80" s="12"/>
      <c r="I80" s="12"/>
    </row>
    <row r="81" ht="14.25" customHeight="1">
      <c r="A81" s="12"/>
      <c r="B81" s="12"/>
      <c r="C81" s="12"/>
      <c r="D81" s="12"/>
      <c r="E81" s="12"/>
      <c r="F81" s="12"/>
      <c r="G81" s="12"/>
      <c r="H81" s="12"/>
      <c r="I81" s="12"/>
    </row>
    <row r="82" ht="14.25" customHeight="1">
      <c r="A82" s="12"/>
      <c r="B82" s="12"/>
      <c r="C82" s="12"/>
      <c r="D82" s="12"/>
      <c r="E82" s="12"/>
      <c r="F82" s="12"/>
      <c r="G82" s="12"/>
      <c r="H82" s="12"/>
      <c r="I82" s="12"/>
    </row>
    <row r="83" ht="14.25" customHeight="1">
      <c r="A83" s="12"/>
      <c r="B83" s="12"/>
      <c r="C83" s="12"/>
      <c r="D83" s="12"/>
      <c r="E83" s="12"/>
      <c r="F83" s="12"/>
      <c r="G83" s="12"/>
      <c r="H83" s="12"/>
      <c r="I83" s="12"/>
    </row>
    <row r="84" ht="14.25" customHeight="1">
      <c r="A84" s="12"/>
      <c r="B84" s="12"/>
      <c r="C84" s="12"/>
      <c r="D84" s="12"/>
      <c r="E84" s="12"/>
      <c r="F84" s="12"/>
      <c r="G84" s="12"/>
      <c r="H84" s="12"/>
      <c r="I84" s="12"/>
    </row>
    <row r="85" ht="14.25" customHeight="1">
      <c r="A85" s="12"/>
      <c r="B85" s="12"/>
      <c r="C85" s="12"/>
      <c r="D85" s="12"/>
      <c r="E85" s="12"/>
      <c r="F85" s="12"/>
      <c r="G85" s="12"/>
      <c r="H85" s="12"/>
      <c r="I85" s="12"/>
    </row>
    <row r="86" ht="14.25" customHeight="1">
      <c r="A86" s="12"/>
      <c r="B86" s="12"/>
      <c r="C86" s="12"/>
      <c r="D86" s="12"/>
      <c r="E86" s="12"/>
      <c r="F86" s="12"/>
      <c r="G86" s="12"/>
      <c r="H86" s="12"/>
      <c r="I86" s="12"/>
    </row>
    <row r="87" ht="14.25" customHeight="1">
      <c r="A87" s="12"/>
      <c r="B87" s="12"/>
      <c r="C87" s="12"/>
      <c r="D87" s="12"/>
      <c r="E87" s="12"/>
      <c r="F87" s="12"/>
      <c r="G87" s="12"/>
      <c r="H87" s="12"/>
      <c r="I87" s="12"/>
    </row>
    <row r="88" ht="14.25" customHeight="1">
      <c r="A88" s="12"/>
      <c r="B88" s="12"/>
      <c r="C88" s="12"/>
      <c r="D88" s="12"/>
      <c r="E88" s="12"/>
      <c r="F88" s="12"/>
      <c r="G88" s="12"/>
      <c r="H88" s="12"/>
      <c r="I88" s="12"/>
    </row>
    <row r="89" ht="14.25" customHeight="1">
      <c r="A89" s="12"/>
      <c r="B89" s="12"/>
      <c r="C89" s="12"/>
      <c r="D89" s="12"/>
      <c r="E89" s="12"/>
      <c r="F89" s="12"/>
      <c r="G89" s="12"/>
      <c r="H89" s="12"/>
      <c r="I89" s="12"/>
    </row>
    <row r="90" ht="14.25" customHeight="1">
      <c r="A90" s="12"/>
      <c r="B90" s="12"/>
      <c r="C90" s="12"/>
      <c r="D90" s="12"/>
      <c r="E90" s="12"/>
      <c r="F90" s="12"/>
      <c r="G90" s="12"/>
      <c r="H90" s="12"/>
      <c r="I90" s="12"/>
    </row>
    <row r="91" ht="14.25" customHeight="1">
      <c r="A91" s="12"/>
      <c r="B91" s="12"/>
      <c r="C91" s="12"/>
      <c r="D91" s="12"/>
      <c r="E91" s="12"/>
      <c r="F91" s="12"/>
      <c r="G91" s="12"/>
      <c r="H91" s="12"/>
      <c r="I91" s="12"/>
    </row>
    <row r="92" ht="14.25" customHeight="1">
      <c r="A92" s="12"/>
      <c r="B92" s="12"/>
      <c r="C92" s="12"/>
      <c r="D92" s="12"/>
      <c r="E92" s="12"/>
      <c r="F92" s="12"/>
      <c r="G92" s="12"/>
      <c r="H92" s="12"/>
      <c r="I92" s="12"/>
    </row>
    <row r="93" ht="14.25" customHeight="1">
      <c r="A93" s="12"/>
      <c r="B93" s="12"/>
      <c r="C93" s="12"/>
      <c r="D93" s="12"/>
      <c r="E93" s="12"/>
      <c r="F93" s="12"/>
      <c r="G93" s="12"/>
      <c r="H93" s="12"/>
      <c r="I93" s="12"/>
    </row>
    <row r="94" ht="14.25" customHeight="1">
      <c r="A94" s="12"/>
      <c r="B94" s="12"/>
      <c r="C94" s="12"/>
      <c r="D94" s="12"/>
      <c r="E94" s="12"/>
      <c r="F94" s="12"/>
      <c r="G94" s="12"/>
      <c r="H94" s="12"/>
      <c r="I94" s="12"/>
    </row>
    <row r="95" ht="14.25" customHeight="1">
      <c r="A95" s="12"/>
      <c r="B95" s="12"/>
      <c r="C95" s="12"/>
      <c r="D95" s="12"/>
      <c r="E95" s="12"/>
      <c r="F95" s="12"/>
      <c r="G95" s="12"/>
      <c r="H95" s="12"/>
      <c r="I95" s="12"/>
    </row>
    <row r="96" ht="14.25" customHeight="1">
      <c r="A96" s="12"/>
      <c r="B96" s="12"/>
      <c r="C96" s="12"/>
      <c r="D96" s="12"/>
      <c r="E96" s="12"/>
      <c r="F96" s="12"/>
      <c r="G96" s="12"/>
      <c r="H96" s="12"/>
      <c r="I96" s="12"/>
    </row>
    <row r="97" ht="14.25" customHeight="1">
      <c r="A97" s="12"/>
      <c r="B97" s="12"/>
      <c r="C97" s="12"/>
      <c r="D97" s="12"/>
      <c r="E97" s="12"/>
      <c r="F97" s="12"/>
      <c r="G97" s="12"/>
      <c r="H97" s="12"/>
      <c r="I97" s="12"/>
    </row>
    <row r="98" ht="14.25" customHeight="1">
      <c r="A98" s="12"/>
      <c r="B98" s="12"/>
      <c r="C98" s="12"/>
      <c r="D98" s="12"/>
      <c r="E98" s="12"/>
      <c r="F98" s="12"/>
      <c r="G98" s="12"/>
      <c r="H98" s="12"/>
      <c r="I98" s="12"/>
    </row>
    <row r="99" ht="14.25" customHeight="1">
      <c r="A99" s="12"/>
      <c r="B99" s="12"/>
      <c r="C99" s="12"/>
      <c r="D99" s="12"/>
      <c r="E99" s="12"/>
      <c r="F99" s="12"/>
      <c r="G99" s="12"/>
      <c r="H99" s="12"/>
      <c r="I99" s="12"/>
    </row>
    <row r="100" ht="14.25" customHeight="1">
      <c r="A100" s="12"/>
      <c r="B100" s="12"/>
      <c r="C100" s="12"/>
      <c r="D100" s="12"/>
      <c r="E100" s="12"/>
      <c r="F100" s="12"/>
      <c r="G100" s="12"/>
      <c r="H100" s="12"/>
      <c r="I100" s="12"/>
    </row>
    <row r="101" ht="14.25" customHeight="1">
      <c r="A101" s="12"/>
      <c r="B101" s="12"/>
      <c r="C101" s="12"/>
      <c r="D101" s="12"/>
      <c r="E101" s="12"/>
      <c r="F101" s="12"/>
      <c r="G101" s="12"/>
      <c r="H101" s="12"/>
      <c r="I101" s="12"/>
    </row>
    <row r="102" ht="14.25" customHeight="1">
      <c r="A102" s="12"/>
      <c r="B102" s="12"/>
      <c r="C102" s="12"/>
      <c r="D102" s="12"/>
      <c r="E102" s="12"/>
      <c r="F102" s="12"/>
      <c r="G102" s="12"/>
      <c r="H102" s="12"/>
      <c r="I102" s="12"/>
    </row>
    <row r="103" ht="14.25" customHeight="1">
      <c r="A103" s="12"/>
      <c r="B103" s="12"/>
      <c r="C103" s="12"/>
      <c r="D103" s="12"/>
      <c r="E103" s="12"/>
      <c r="F103" s="12"/>
      <c r="G103" s="12"/>
      <c r="H103" s="12"/>
      <c r="I103" s="12"/>
    </row>
    <row r="104" ht="14.25" customHeight="1">
      <c r="A104" s="12"/>
      <c r="B104" s="12"/>
      <c r="C104" s="12"/>
      <c r="D104" s="12"/>
      <c r="E104" s="12"/>
      <c r="F104" s="12"/>
      <c r="G104" s="12"/>
      <c r="H104" s="12"/>
      <c r="I104" s="12"/>
    </row>
    <row r="105" ht="14.25" customHeight="1">
      <c r="A105" s="12"/>
      <c r="B105" s="12"/>
      <c r="C105" s="12"/>
      <c r="D105" s="12"/>
      <c r="E105" s="12"/>
      <c r="F105" s="12"/>
      <c r="G105" s="12"/>
      <c r="H105" s="12"/>
      <c r="I105" s="12"/>
    </row>
    <row r="106" ht="14.25" customHeight="1">
      <c r="A106" s="12"/>
      <c r="B106" s="12"/>
      <c r="C106" s="12"/>
      <c r="D106" s="12"/>
      <c r="E106" s="12"/>
      <c r="F106" s="12"/>
      <c r="G106" s="12"/>
      <c r="H106" s="12"/>
      <c r="I106" s="12"/>
    </row>
    <row r="107" ht="14.25" customHeight="1">
      <c r="A107" s="12"/>
      <c r="B107" s="12"/>
      <c r="C107" s="12"/>
      <c r="D107" s="12"/>
      <c r="E107" s="12"/>
      <c r="F107" s="12"/>
      <c r="G107" s="12"/>
      <c r="H107" s="12"/>
      <c r="I107" s="12"/>
    </row>
    <row r="108" ht="14.25" customHeight="1">
      <c r="A108" s="12"/>
      <c r="B108" s="12"/>
      <c r="C108" s="12"/>
      <c r="D108" s="12"/>
      <c r="E108" s="12"/>
      <c r="F108" s="12"/>
      <c r="G108" s="12"/>
      <c r="H108" s="12"/>
      <c r="I108" s="12"/>
    </row>
    <row r="109" ht="14.25" customHeight="1">
      <c r="A109" s="12"/>
      <c r="B109" s="12"/>
      <c r="C109" s="12"/>
      <c r="D109" s="12"/>
      <c r="E109" s="12"/>
      <c r="F109" s="12"/>
      <c r="G109" s="12"/>
      <c r="H109" s="12"/>
      <c r="I109" s="12"/>
    </row>
    <row r="110" ht="14.25" customHeight="1">
      <c r="A110" s="12"/>
      <c r="B110" s="12"/>
      <c r="C110" s="12"/>
      <c r="D110" s="12"/>
      <c r="E110" s="12"/>
      <c r="F110" s="12"/>
      <c r="G110" s="12"/>
      <c r="H110" s="12"/>
      <c r="I110" s="12"/>
    </row>
    <row r="111" ht="14.25" customHeight="1">
      <c r="A111" s="12"/>
      <c r="B111" s="12"/>
      <c r="C111" s="12"/>
      <c r="D111" s="12"/>
      <c r="E111" s="12"/>
      <c r="F111" s="12"/>
      <c r="G111" s="12"/>
      <c r="H111" s="12"/>
      <c r="I111" s="12"/>
    </row>
    <row r="112" ht="14.25" customHeight="1">
      <c r="A112" s="12"/>
      <c r="B112" s="12"/>
      <c r="C112" s="12"/>
      <c r="D112" s="12"/>
      <c r="E112" s="12"/>
      <c r="F112" s="12"/>
      <c r="G112" s="12"/>
      <c r="H112" s="12"/>
      <c r="I112" s="12"/>
    </row>
    <row r="113" ht="14.25" customHeight="1">
      <c r="A113" s="12"/>
      <c r="B113" s="12"/>
      <c r="C113" s="12"/>
      <c r="D113" s="12"/>
      <c r="E113" s="12"/>
      <c r="F113" s="12"/>
      <c r="G113" s="12"/>
      <c r="H113" s="12"/>
      <c r="I113" s="12"/>
    </row>
    <row r="114" ht="14.25" customHeight="1">
      <c r="A114" s="12"/>
      <c r="B114" s="12"/>
      <c r="C114" s="12"/>
      <c r="D114" s="12"/>
      <c r="E114" s="12"/>
      <c r="F114" s="12"/>
      <c r="G114" s="12"/>
      <c r="H114" s="12"/>
      <c r="I114" s="12"/>
    </row>
    <row r="115" ht="14.25" customHeight="1">
      <c r="A115" s="12"/>
      <c r="B115" s="12"/>
      <c r="C115" s="12"/>
      <c r="D115" s="12"/>
      <c r="E115" s="12"/>
      <c r="F115" s="12"/>
      <c r="G115" s="12"/>
      <c r="H115" s="12"/>
      <c r="I115" s="12"/>
    </row>
    <row r="116" ht="14.25" customHeight="1">
      <c r="A116" s="12"/>
      <c r="B116" s="12"/>
      <c r="C116" s="12"/>
      <c r="D116" s="12"/>
      <c r="E116" s="12"/>
      <c r="F116" s="12"/>
      <c r="G116" s="12"/>
      <c r="H116" s="12"/>
      <c r="I116" s="12"/>
    </row>
    <row r="117" ht="14.25" customHeight="1">
      <c r="A117" s="12"/>
      <c r="B117" s="12"/>
      <c r="C117" s="12"/>
      <c r="D117" s="12"/>
      <c r="E117" s="12"/>
      <c r="F117" s="12"/>
      <c r="G117" s="12"/>
      <c r="H117" s="12"/>
      <c r="I117" s="12"/>
    </row>
    <row r="118" ht="14.25" customHeight="1">
      <c r="A118" s="12"/>
      <c r="B118" s="12"/>
      <c r="C118" s="12"/>
      <c r="D118" s="12"/>
      <c r="E118" s="12"/>
      <c r="F118" s="12"/>
      <c r="G118" s="12"/>
      <c r="H118" s="12"/>
      <c r="I118" s="12"/>
    </row>
    <row r="119" ht="14.25" customHeight="1">
      <c r="A119" s="12"/>
      <c r="B119" s="12"/>
      <c r="C119" s="12"/>
      <c r="D119" s="12"/>
      <c r="E119" s="12"/>
      <c r="F119" s="12"/>
      <c r="G119" s="12"/>
      <c r="H119" s="12"/>
      <c r="I119" s="12"/>
    </row>
    <row r="120" ht="14.25" customHeight="1">
      <c r="A120" s="12"/>
      <c r="B120" s="12"/>
      <c r="C120" s="12"/>
      <c r="D120" s="12"/>
      <c r="E120" s="12"/>
      <c r="F120" s="12"/>
      <c r="G120" s="12"/>
      <c r="H120" s="12"/>
      <c r="I120" s="12"/>
    </row>
    <row r="121" ht="14.25" customHeight="1">
      <c r="A121" s="12"/>
      <c r="B121" s="12"/>
      <c r="C121" s="12"/>
      <c r="D121" s="12"/>
      <c r="E121" s="12"/>
      <c r="F121" s="12"/>
      <c r="G121" s="12"/>
      <c r="H121" s="12"/>
      <c r="I121" s="12"/>
    </row>
    <row r="122" ht="14.25" customHeight="1">
      <c r="A122" s="12"/>
      <c r="B122" s="12"/>
      <c r="C122" s="12"/>
      <c r="D122" s="12"/>
      <c r="E122" s="12"/>
      <c r="F122" s="12"/>
      <c r="G122" s="12"/>
      <c r="H122" s="12"/>
      <c r="I122" s="12"/>
    </row>
    <row r="123" ht="14.25" customHeight="1">
      <c r="A123" s="12"/>
      <c r="B123" s="12"/>
      <c r="C123" s="12"/>
      <c r="D123" s="12"/>
      <c r="E123" s="12"/>
      <c r="F123" s="12"/>
      <c r="G123" s="12"/>
      <c r="H123" s="12"/>
      <c r="I123" s="12"/>
    </row>
    <row r="124" ht="14.25" customHeight="1">
      <c r="A124" s="12"/>
      <c r="B124" s="12"/>
      <c r="C124" s="12"/>
      <c r="D124" s="12"/>
      <c r="E124" s="12"/>
      <c r="F124" s="12"/>
      <c r="G124" s="12"/>
      <c r="H124" s="12"/>
      <c r="I124" s="12"/>
    </row>
    <row r="125" ht="14.25" customHeight="1">
      <c r="A125" s="12"/>
      <c r="B125" s="12"/>
      <c r="C125" s="12"/>
      <c r="D125" s="12"/>
      <c r="E125" s="12"/>
      <c r="F125" s="12"/>
      <c r="G125" s="12"/>
      <c r="H125" s="12"/>
      <c r="I125" s="12"/>
    </row>
    <row r="126" ht="14.25" customHeight="1">
      <c r="A126" s="12"/>
      <c r="B126" s="12"/>
      <c r="C126" s="12"/>
      <c r="D126" s="12"/>
      <c r="E126" s="12"/>
      <c r="F126" s="12"/>
      <c r="G126" s="12"/>
      <c r="H126" s="12"/>
      <c r="I126" s="12"/>
    </row>
    <row r="127" ht="14.25" customHeight="1">
      <c r="A127" s="12"/>
      <c r="B127" s="12"/>
      <c r="C127" s="12"/>
      <c r="D127" s="12"/>
      <c r="E127" s="12"/>
      <c r="F127" s="12"/>
      <c r="G127" s="12"/>
      <c r="H127" s="12"/>
      <c r="I127" s="12"/>
    </row>
    <row r="128" ht="14.25" customHeight="1">
      <c r="A128" s="12"/>
      <c r="B128" s="12"/>
      <c r="C128" s="12"/>
      <c r="D128" s="12"/>
      <c r="E128" s="12"/>
      <c r="F128" s="12"/>
      <c r="G128" s="12"/>
      <c r="H128" s="12"/>
      <c r="I128" s="12"/>
    </row>
    <row r="129" ht="14.25" customHeight="1">
      <c r="A129" s="12"/>
      <c r="B129" s="12"/>
      <c r="C129" s="12"/>
      <c r="D129" s="12"/>
      <c r="E129" s="12"/>
      <c r="F129" s="12"/>
      <c r="G129" s="12"/>
      <c r="H129" s="12"/>
      <c r="I129" s="12"/>
    </row>
    <row r="130" ht="14.25" customHeight="1">
      <c r="A130" s="12"/>
      <c r="B130" s="12"/>
      <c r="C130" s="12"/>
      <c r="D130" s="12"/>
      <c r="E130" s="12"/>
      <c r="F130" s="12"/>
      <c r="G130" s="12"/>
      <c r="H130" s="12"/>
      <c r="I130" s="12"/>
    </row>
    <row r="131" ht="14.25" customHeight="1">
      <c r="A131" s="12"/>
      <c r="B131" s="12"/>
      <c r="C131" s="12"/>
      <c r="D131" s="12"/>
      <c r="E131" s="12"/>
      <c r="F131" s="12"/>
      <c r="G131" s="12"/>
      <c r="H131" s="12"/>
      <c r="I131" s="12"/>
    </row>
    <row r="132" ht="14.25" customHeight="1">
      <c r="A132" s="12"/>
      <c r="B132" s="12"/>
      <c r="C132" s="12"/>
      <c r="D132" s="12"/>
      <c r="E132" s="12"/>
      <c r="F132" s="12"/>
      <c r="G132" s="12"/>
      <c r="H132" s="12"/>
      <c r="I132" s="12"/>
    </row>
    <row r="133" ht="14.25" customHeight="1">
      <c r="A133" s="12"/>
      <c r="B133" s="12"/>
      <c r="C133" s="12"/>
      <c r="D133" s="12"/>
      <c r="E133" s="12"/>
      <c r="F133" s="12"/>
      <c r="G133" s="12"/>
      <c r="H133" s="12"/>
      <c r="I133" s="12"/>
    </row>
    <row r="134" ht="14.25" customHeight="1">
      <c r="A134" s="12"/>
      <c r="B134" s="12"/>
      <c r="C134" s="12"/>
      <c r="D134" s="12"/>
      <c r="E134" s="12"/>
      <c r="F134" s="12"/>
      <c r="G134" s="12"/>
      <c r="H134" s="12"/>
      <c r="I134" s="12"/>
    </row>
    <row r="135" ht="14.25" customHeight="1">
      <c r="A135" s="12"/>
      <c r="B135" s="12"/>
      <c r="C135" s="12"/>
      <c r="D135" s="12"/>
      <c r="E135" s="12"/>
      <c r="F135" s="12"/>
      <c r="G135" s="12"/>
      <c r="H135" s="12"/>
      <c r="I135" s="12"/>
    </row>
    <row r="136" ht="14.25" customHeight="1">
      <c r="A136" s="12"/>
      <c r="B136" s="12"/>
      <c r="C136" s="12"/>
      <c r="D136" s="12"/>
      <c r="E136" s="12"/>
      <c r="F136" s="12"/>
      <c r="G136" s="12"/>
      <c r="H136" s="12"/>
      <c r="I136" s="12"/>
    </row>
    <row r="137" ht="14.25" customHeight="1">
      <c r="A137" s="12"/>
      <c r="B137" s="12"/>
      <c r="C137" s="12"/>
      <c r="D137" s="12"/>
      <c r="E137" s="12"/>
      <c r="F137" s="12"/>
      <c r="G137" s="12"/>
      <c r="H137" s="12"/>
      <c r="I137" s="12"/>
    </row>
    <row r="138" ht="14.25" customHeight="1">
      <c r="A138" s="12"/>
      <c r="B138" s="12"/>
      <c r="C138" s="12"/>
      <c r="D138" s="12"/>
      <c r="E138" s="12"/>
      <c r="F138" s="12"/>
      <c r="G138" s="12"/>
      <c r="H138" s="12"/>
      <c r="I138" s="12"/>
    </row>
    <row r="139" ht="14.25" customHeight="1">
      <c r="A139" s="12"/>
      <c r="B139" s="12"/>
      <c r="C139" s="12"/>
      <c r="D139" s="12"/>
      <c r="E139" s="12"/>
      <c r="F139" s="12"/>
      <c r="G139" s="12"/>
      <c r="H139" s="12"/>
      <c r="I139" s="12"/>
    </row>
    <row r="140" ht="14.25" customHeight="1">
      <c r="A140" s="12"/>
      <c r="B140" s="12"/>
      <c r="C140" s="12"/>
      <c r="D140" s="12"/>
      <c r="E140" s="12"/>
      <c r="F140" s="12"/>
      <c r="G140" s="12"/>
      <c r="H140" s="12"/>
      <c r="I140" s="12"/>
    </row>
    <row r="141" ht="14.25" customHeight="1">
      <c r="A141" s="12"/>
      <c r="B141" s="12"/>
      <c r="C141" s="12"/>
      <c r="D141" s="12"/>
      <c r="E141" s="12"/>
      <c r="F141" s="12"/>
      <c r="G141" s="12"/>
      <c r="H141" s="12"/>
      <c r="I141" s="12"/>
    </row>
    <row r="142" ht="14.25" customHeight="1">
      <c r="A142" s="12"/>
      <c r="B142" s="12"/>
      <c r="C142" s="12"/>
      <c r="D142" s="12"/>
      <c r="E142" s="12"/>
      <c r="F142" s="12"/>
      <c r="G142" s="12"/>
      <c r="H142" s="12"/>
      <c r="I142" s="12"/>
    </row>
    <row r="143" ht="14.25" customHeight="1">
      <c r="A143" s="12"/>
      <c r="B143" s="12"/>
      <c r="C143" s="12"/>
      <c r="D143" s="12"/>
      <c r="E143" s="12"/>
      <c r="F143" s="12"/>
      <c r="G143" s="12"/>
      <c r="H143" s="12"/>
      <c r="I143" s="12"/>
    </row>
    <row r="144" ht="14.25" customHeight="1">
      <c r="A144" s="12"/>
      <c r="B144" s="12"/>
      <c r="C144" s="12"/>
      <c r="D144" s="12"/>
      <c r="E144" s="12"/>
      <c r="F144" s="12"/>
      <c r="G144" s="12"/>
      <c r="H144" s="12"/>
      <c r="I144" s="12"/>
    </row>
    <row r="145" ht="14.25" customHeight="1">
      <c r="A145" s="12"/>
      <c r="B145" s="12"/>
      <c r="C145" s="12"/>
      <c r="D145" s="12"/>
      <c r="E145" s="12"/>
      <c r="F145" s="12"/>
      <c r="G145" s="12"/>
      <c r="H145" s="12"/>
      <c r="I145" s="12"/>
    </row>
    <row r="146" ht="14.25" customHeight="1">
      <c r="A146" s="12"/>
      <c r="B146" s="12"/>
      <c r="C146" s="12"/>
      <c r="D146" s="12"/>
      <c r="E146" s="12"/>
      <c r="F146" s="12"/>
      <c r="G146" s="12"/>
      <c r="H146" s="12"/>
      <c r="I146" s="12"/>
    </row>
    <row r="147" ht="14.25" customHeight="1">
      <c r="A147" s="12"/>
      <c r="B147" s="12"/>
      <c r="C147" s="12"/>
      <c r="D147" s="12"/>
      <c r="E147" s="12"/>
      <c r="F147" s="12"/>
      <c r="G147" s="12"/>
      <c r="H147" s="12"/>
      <c r="I147" s="12"/>
    </row>
    <row r="148" ht="14.25" customHeight="1">
      <c r="A148" s="12"/>
      <c r="B148" s="12"/>
      <c r="C148" s="12"/>
      <c r="D148" s="12"/>
      <c r="E148" s="12"/>
      <c r="F148" s="12"/>
      <c r="G148" s="12"/>
      <c r="H148" s="12"/>
      <c r="I148" s="12"/>
    </row>
    <row r="149" ht="14.25" customHeight="1">
      <c r="A149" s="12"/>
      <c r="B149" s="12"/>
      <c r="C149" s="12"/>
      <c r="D149" s="12"/>
      <c r="E149" s="12"/>
      <c r="F149" s="12"/>
      <c r="G149" s="12"/>
      <c r="H149" s="12"/>
      <c r="I149" s="12"/>
    </row>
    <row r="150" ht="14.25" customHeight="1">
      <c r="A150" s="12"/>
      <c r="B150" s="12"/>
      <c r="C150" s="12"/>
      <c r="D150" s="12"/>
      <c r="E150" s="12"/>
      <c r="F150" s="12"/>
      <c r="G150" s="12"/>
      <c r="H150" s="12"/>
      <c r="I150" s="12"/>
    </row>
    <row r="151" ht="14.25" customHeight="1">
      <c r="A151" s="12"/>
      <c r="B151" s="12"/>
      <c r="C151" s="12"/>
      <c r="D151" s="12"/>
      <c r="E151" s="12"/>
      <c r="F151" s="12"/>
      <c r="G151" s="12"/>
      <c r="H151" s="12"/>
      <c r="I151" s="12"/>
    </row>
    <row r="152" ht="14.25" customHeight="1">
      <c r="A152" s="12"/>
      <c r="B152" s="12"/>
      <c r="C152" s="12"/>
      <c r="D152" s="12"/>
      <c r="E152" s="12"/>
      <c r="F152" s="12"/>
      <c r="G152" s="12"/>
      <c r="H152" s="12"/>
      <c r="I152" s="12"/>
    </row>
    <row r="153" ht="14.25" customHeight="1">
      <c r="A153" s="12"/>
      <c r="B153" s="12"/>
      <c r="C153" s="12"/>
      <c r="D153" s="12"/>
      <c r="E153" s="12"/>
      <c r="F153" s="12"/>
      <c r="G153" s="12"/>
      <c r="H153" s="12"/>
      <c r="I153" s="12"/>
    </row>
    <row r="154" ht="14.25" customHeight="1">
      <c r="A154" s="12"/>
      <c r="B154" s="12"/>
      <c r="C154" s="12"/>
      <c r="D154" s="12"/>
      <c r="E154" s="12"/>
      <c r="F154" s="12"/>
      <c r="G154" s="12"/>
      <c r="H154" s="12"/>
      <c r="I154" s="12"/>
    </row>
    <row r="155" ht="14.25" customHeight="1">
      <c r="A155" s="12"/>
      <c r="B155" s="12"/>
      <c r="C155" s="12"/>
      <c r="D155" s="12"/>
      <c r="E155" s="12"/>
      <c r="F155" s="12"/>
      <c r="G155" s="12"/>
      <c r="H155" s="12"/>
      <c r="I155" s="12"/>
    </row>
    <row r="156" ht="14.25" customHeight="1">
      <c r="A156" s="12"/>
      <c r="B156" s="12"/>
      <c r="C156" s="12"/>
      <c r="D156" s="12"/>
      <c r="E156" s="12"/>
      <c r="F156" s="12"/>
      <c r="G156" s="12"/>
      <c r="H156" s="12"/>
      <c r="I156" s="12"/>
    </row>
    <row r="157" ht="14.25" customHeight="1">
      <c r="A157" s="12"/>
      <c r="B157" s="12"/>
      <c r="C157" s="12"/>
      <c r="D157" s="12"/>
      <c r="E157" s="12"/>
      <c r="F157" s="12"/>
      <c r="G157" s="12"/>
      <c r="H157" s="12"/>
      <c r="I157" s="12"/>
    </row>
    <row r="158" ht="14.25" customHeight="1">
      <c r="A158" s="12"/>
      <c r="B158" s="12"/>
      <c r="C158" s="12"/>
      <c r="D158" s="12"/>
      <c r="E158" s="12"/>
      <c r="F158" s="12"/>
      <c r="G158" s="12"/>
      <c r="H158" s="12"/>
      <c r="I158" s="12"/>
    </row>
    <row r="159" ht="14.25" customHeight="1">
      <c r="A159" s="12"/>
      <c r="B159" s="12"/>
      <c r="C159" s="12"/>
      <c r="D159" s="12"/>
      <c r="E159" s="12"/>
      <c r="F159" s="12"/>
      <c r="G159" s="12"/>
      <c r="H159" s="12"/>
      <c r="I159" s="12"/>
    </row>
    <row r="160" ht="14.25" customHeight="1">
      <c r="A160" s="12"/>
      <c r="B160" s="12"/>
      <c r="C160" s="12"/>
      <c r="D160" s="12"/>
      <c r="E160" s="12"/>
      <c r="F160" s="12"/>
      <c r="G160" s="12"/>
      <c r="H160" s="12"/>
      <c r="I160" s="12"/>
    </row>
    <row r="161" ht="14.25" customHeight="1">
      <c r="A161" s="12"/>
      <c r="B161" s="12"/>
      <c r="C161" s="12"/>
      <c r="D161" s="12"/>
      <c r="E161" s="12"/>
      <c r="F161" s="12"/>
      <c r="G161" s="12"/>
      <c r="H161" s="12"/>
      <c r="I161" s="12"/>
    </row>
    <row r="162" ht="14.25" customHeight="1">
      <c r="A162" s="12"/>
      <c r="B162" s="12"/>
      <c r="C162" s="12"/>
      <c r="D162" s="12"/>
      <c r="E162" s="12"/>
      <c r="F162" s="12"/>
      <c r="G162" s="12"/>
      <c r="H162" s="12"/>
      <c r="I162" s="12"/>
    </row>
    <row r="163" ht="14.25" customHeight="1">
      <c r="A163" s="12"/>
      <c r="B163" s="12"/>
      <c r="C163" s="12"/>
      <c r="D163" s="12"/>
      <c r="E163" s="12"/>
      <c r="F163" s="12"/>
      <c r="G163" s="12"/>
      <c r="H163" s="12"/>
      <c r="I163" s="12"/>
    </row>
    <row r="164" ht="14.25" customHeight="1">
      <c r="A164" s="12"/>
      <c r="B164" s="12"/>
      <c r="C164" s="12"/>
      <c r="D164" s="12"/>
      <c r="E164" s="12"/>
      <c r="F164" s="12"/>
      <c r="G164" s="12"/>
      <c r="H164" s="12"/>
      <c r="I164" s="12"/>
    </row>
    <row r="165" ht="14.25" customHeight="1">
      <c r="A165" s="12"/>
      <c r="B165" s="12"/>
      <c r="C165" s="12"/>
      <c r="D165" s="12"/>
      <c r="E165" s="12"/>
      <c r="F165" s="12"/>
      <c r="G165" s="12"/>
      <c r="H165" s="12"/>
      <c r="I165" s="12"/>
    </row>
    <row r="166" ht="14.25" customHeight="1">
      <c r="A166" s="12"/>
      <c r="B166" s="12"/>
      <c r="C166" s="12"/>
      <c r="D166" s="12"/>
      <c r="E166" s="12"/>
      <c r="F166" s="12"/>
      <c r="G166" s="12"/>
      <c r="H166" s="12"/>
      <c r="I166" s="12"/>
    </row>
    <row r="167" ht="14.25" customHeight="1">
      <c r="A167" s="12"/>
      <c r="B167" s="12"/>
      <c r="C167" s="12"/>
      <c r="D167" s="12"/>
      <c r="E167" s="12"/>
      <c r="F167" s="12"/>
      <c r="G167" s="12"/>
      <c r="H167" s="12"/>
      <c r="I167" s="12"/>
    </row>
    <row r="168" ht="14.25" customHeight="1">
      <c r="A168" s="12"/>
      <c r="B168" s="12"/>
      <c r="C168" s="12"/>
      <c r="D168" s="12"/>
      <c r="E168" s="12"/>
      <c r="F168" s="12"/>
      <c r="G168" s="12"/>
      <c r="H168" s="12"/>
      <c r="I168" s="12"/>
    </row>
    <row r="169" ht="14.25" customHeight="1">
      <c r="A169" s="12"/>
      <c r="B169" s="12"/>
      <c r="C169" s="12"/>
      <c r="D169" s="12"/>
      <c r="E169" s="12"/>
      <c r="F169" s="12"/>
      <c r="G169" s="12"/>
      <c r="H169" s="12"/>
      <c r="I169" s="12"/>
    </row>
    <row r="170" ht="14.25" customHeight="1">
      <c r="A170" s="12"/>
      <c r="B170" s="12"/>
      <c r="C170" s="12"/>
      <c r="D170" s="12"/>
      <c r="E170" s="12"/>
      <c r="F170" s="12"/>
      <c r="G170" s="12"/>
      <c r="H170" s="12"/>
      <c r="I170" s="12"/>
    </row>
    <row r="171" ht="14.25" customHeight="1">
      <c r="A171" s="12"/>
      <c r="B171" s="12"/>
      <c r="C171" s="12"/>
      <c r="D171" s="12"/>
      <c r="E171" s="12"/>
      <c r="F171" s="12"/>
      <c r="G171" s="12"/>
      <c r="H171" s="12"/>
      <c r="I171" s="12"/>
    </row>
    <row r="172" ht="14.25" customHeight="1">
      <c r="A172" s="12"/>
      <c r="B172" s="12"/>
      <c r="C172" s="12"/>
      <c r="D172" s="12"/>
      <c r="E172" s="12"/>
      <c r="F172" s="12"/>
      <c r="G172" s="12"/>
      <c r="H172" s="12"/>
      <c r="I172" s="12"/>
    </row>
    <row r="173" ht="14.25" customHeight="1">
      <c r="A173" s="12"/>
      <c r="B173" s="12"/>
      <c r="C173" s="12"/>
      <c r="D173" s="12"/>
      <c r="E173" s="12"/>
      <c r="F173" s="12"/>
      <c r="G173" s="12"/>
      <c r="H173" s="12"/>
      <c r="I173" s="12"/>
    </row>
    <row r="174" ht="14.25" customHeight="1">
      <c r="A174" s="12"/>
      <c r="B174" s="12"/>
      <c r="C174" s="12"/>
      <c r="D174" s="12"/>
      <c r="E174" s="12"/>
      <c r="F174" s="12"/>
      <c r="G174" s="12"/>
      <c r="H174" s="12"/>
      <c r="I174" s="12"/>
    </row>
    <row r="175" ht="14.25" customHeight="1">
      <c r="A175" s="12"/>
      <c r="B175" s="12"/>
      <c r="C175" s="12"/>
      <c r="D175" s="12"/>
      <c r="E175" s="12"/>
      <c r="F175" s="12"/>
      <c r="G175" s="12"/>
      <c r="H175" s="12"/>
      <c r="I175" s="12"/>
    </row>
    <row r="176" ht="14.25" customHeight="1">
      <c r="A176" s="12"/>
      <c r="B176" s="12"/>
      <c r="C176" s="12"/>
      <c r="D176" s="12"/>
      <c r="E176" s="12"/>
      <c r="F176" s="12"/>
      <c r="G176" s="12"/>
      <c r="H176" s="12"/>
      <c r="I176" s="12"/>
    </row>
    <row r="177" ht="14.25" customHeight="1">
      <c r="A177" s="12"/>
      <c r="B177" s="12"/>
      <c r="C177" s="12"/>
      <c r="D177" s="12"/>
      <c r="E177" s="12"/>
      <c r="F177" s="12"/>
      <c r="G177" s="12"/>
      <c r="H177" s="12"/>
      <c r="I177" s="12"/>
    </row>
    <row r="178" ht="14.25" customHeight="1">
      <c r="A178" s="12"/>
      <c r="B178" s="12"/>
      <c r="C178" s="12"/>
      <c r="D178" s="12"/>
      <c r="E178" s="12"/>
      <c r="F178" s="12"/>
      <c r="G178" s="12"/>
      <c r="H178" s="12"/>
      <c r="I178" s="12"/>
    </row>
    <row r="179" ht="14.25" customHeight="1">
      <c r="A179" s="12"/>
      <c r="B179" s="12"/>
      <c r="C179" s="12"/>
      <c r="D179" s="12"/>
      <c r="E179" s="12"/>
      <c r="F179" s="12"/>
      <c r="G179" s="12"/>
      <c r="H179" s="12"/>
      <c r="I179" s="12"/>
    </row>
    <row r="180" ht="14.25" customHeight="1">
      <c r="A180" s="12"/>
      <c r="B180" s="12"/>
      <c r="C180" s="12"/>
      <c r="D180" s="12"/>
      <c r="E180" s="12"/>
      <c r="F180" s="12"/>
      <c r="G180" s="12"/>
      <c r="H180" s="12"/>
      <c r="I180" s="12"/>
    </row>
    <row r="181" ht="14.25" customHeight="1">
      <c r="A181" s="12"/>
      <c r="B181" s="12"/>
      <c r="C181" s="12"/>
      <c r="D181" s="12"/>
      <c r="E181" s="12"/>
      <c r="F181" s="12"/>
      <c r="G181" s="12"/>
      <c r="H181" s="12"/>
      <c r="I181" s="12"/>
    </row>
    <row r="182" ht="14.25" customHeight="1">
      <c r="A182" s="12"/>
      <c r="B182" s="12"/>
      <c r="C182" s="12"/>
      <c r="D182" s="12"/>
      <c r="E182" s="12"/>
      <c r="F182" s="12"/>
      <c r="G182" s="12"/>
      <c r="H182" s="12"/>
      <c r="I182" s="12"/>
    </row>
    <row r="183" ht="14.25" customHeight="1">
      <c r="A183" s="12"/>
      <c r="B183" s="12"/>
      <c r="C183" s="12"/>
      <c r="D183" s="12"/>
      <c r="E183" s="12"/>
      <c r="F183" s="12"/>
      <c r="G183" s="12"/>
      <c r="H183" s="12"/>
      <c r="I183" s="12"/>
    </row>
    <row r="184" ht="14.25" customHeight="1">
      <c r="A184" s="12"/>
      <c r="B184" s="12"/>
      <c r="C184" s="12"/>
      <c r="D184" s="12"/>
      <c r="E184" s="12"/>
      <c r="F184" s="12"/>
      <c r="G184" s="12"/>
      <c r="H184" s="12"/>
      <c r="I184" s="12"/>
    </row>
    <row r="185" ht="14.25" customHeight="1">
      <c r="A185" s="12"/>
      <c r="B185" s="12"/>
      <c r="C185" s="12"/>
      <c r="D185" s="12"/>
      <c r="E185" s="12"/>
      <c r="F185" s="12"/>
      <c r="G185" s="12"/>
      <c r="H185" s="12"/>
      <c r="I185" s="12"/>
    </row>
    <row r="186" ht="14.25" customHeight="1">
      <c r="A186" s="12"/>
      <c r="B186" s="12"/>
      <c r="C186" s="12"/>
      <c r="D186" s="12"/>
      <c r="E186" s="12"/>
      <c r="F186" s="12"/>
      <c r="G186" s="12"/>
      <c r="H186" s="12"/>
      <c r="I186" s="12"/>
    </row>
    <row r="187" ht="14.25" customHeight="1">
      <c r="A187" s="12"/>
      <c r="B187" s="12"/>
      <c r="C187" s="12"/>
      <c r="D187" s="12"/>
      <c r="E187" s="12"/>
      <c r="F187" s="12"/>
      <c r="G187" s="12"/>
      <c r="H187" s="12"/>
      <c r="I187" s="12"/>
    </row>
    <row r="188" ht="14.25" customHeight="1">
      <c r="A188" s="12"/>
      <c r="B188" s="12"/>
      <c r="C188" s="12"/>
      <c r="D188" s="12"/>
      <c r="E188" s="12"/>
      <c r="F188" s="12"/>
      <c r="G188" s="12"/>
      <c r="H188" s="12"/>
      <c r="I188" s="12"/>
    </row>
    <row r="189" ht="14.25" customHeight="1">
      <c r="A189" s="12"/>
      <c r="B189" s="12"/>
      <c r="C189" s="12"/>
      <c r="D189" s="12"/>
      <c r="E189" s="12"/>
      <c r="F189" s="12"/>
      <c r="G189" s="12"/>
      <c r="H189" s="12"/>
      <c r="I189" s="12"/>
    </row>
    <row r="190" ht="14.25" customHeight="1">
      <c r="A190" s="12"/>
      <c r="B190" s="12"/>
      <c r="C190" s="12"/>
      <c r="D190" s="12"/>
      <c r="E190" s="12"/>
      <c r="F190" s="12"/>
      <c r="G190" s="12"/>
      <c r="H190" s="12"/>
      <c r="I190" s="12"/>
    </row>
    <row r="191" ht="14.25" customHeight="1">
      <c r="A191" s="12"/>
      <c r="B191" s="12"/>
      <c r="C191" s="12"/>
      <c r="D191" s="12"/>
      <c r="E191" s="12"/>
      <c r="F191" s="12"/>
      <c r="G191" s="12"/>
      <c r="H191" s="12"/>
      <c r="I191" s="12"/>
    </row>
    <row r="192" ht="14.25" customHeight="1">
      <c r="A192" s="12"/>
      <c r="B192" s="12"/>
      <c r="C192" s="12"/>
      <c r="D192" s="12"/>
      <c r="E192" s="12"/>
      <c r="F192" s="12"/>
      <c r="G192" s="12"/>
      <c r="H192" s="12"/>
      <c r="I192" s="12"/>
    </row>
    <row r="193" ht="14.25" customHeight="1">
      <c r="A193" s="12"/>
      <c r="B193" s="12"/>
      <c r="C193" s="12"/>
      <c r="D193" s="12"/>
      <c r="E193" s="12"/>
      <c r="F193" s="12"/>
      <c r="G193" s="12"/>
      <c r="H193" s="12"/>
      <c r="I193" s="12"/>
    </row>
    <row r="194" ht="14.25" customHeight="1">
      <c r="A194" s="12"/>
      <c r="B194" s="12"/>
      <c r="C194" s="12"/>
      <c r="D194" s="12"/>
      <c r="E194" s="12"/>
      <c r="F194" s="12"/>
      <c r="G194" s="12"/>
      <c r="H194" s="12"/>
      <c r="I194" s="12"/>
    </row>
    <row r="195" ht="14.25" customHeight="1">
      <c r="A195" s="12"/>
      <c r="B195" s="12"/>
      <c r="C195" s="12"/>
      <c r="D195" s="12"/>
      <c r="E195" s="12"/>
      <c r="F195" s="12"/>
      <c r="G195" s="12"/>
      <c r="H195" s="12"/>
      <c r="I195" s="12"/>
    </row>
    <row r="196" ht="14.25" customHeight="1">
      <c r="A196" s="12"/>
      <c r="B196" s="12"/>
      <c r="C196" s="12"/>
      <c r="D196" s="12"/>
      <c r="E196" s="12"/>
      <c r="F196" s="12"/>
      <c r="G196" s="12"/>
      <c r="H196" s="12"/>
      <c r="I196" s="12"/>
    </row>
    <row r="197" ht="14.25" customHeight="1">
      <c r="A197" s="12"/>
      <c r="B197" s="12"/>
      <c r="C197" s="12"/>
      <c r="D197" s="12"/>
      <c r="E197" s="12"/>
      <c r="F197" s="12"/>
      <c r="G197" s="12"/>
      <c r="H197" s="12"/>
      <c r="I197" s="12"/>
    </row>
    <row r="198" ht="14.25" customHeight="1">
      <c r="A198" s="12"/>
      <c r="B198" s="12"/>
      <c r="C198" s="12"/>
      <c r="D198" s="12"/>
      <c r="E198" s="12"/>
      <c r="F198" s="12"/>
      <c r="G198" s="12"/>
      <c r="H198" s="12"/>
      <c r="I198" s="12"/>
    </row>
    <row r="199" ht="14.25" customHeight="1">
      <c r="A199" s="12"/>
      <c r="B199" s="12"/>
      <c r="C199" s="12"/>
      <c r="D199" s="12"/>
      <c r="E199" s="12"/>
      <c r="F199" s="12"/>
      <c r="G199" s="12"/>
      <c r="H199" s="12"/>
      <c r="I199" s="12"/>
    </row>
    <row r="200" ht="14.25" customHeight="1">
      <c r="A200" s="12"/>
      <c r="B200" s="12"/>
      <c r="C200" s="12"/>
      <c r="D200" s="12"/>
      <c r="E200" s="12"/>
      <c r="F200" s="12"/>
      <c r="G200" s="12"/>
      <c r="H200" s="12"/>
      <c r="I200" s="12"/>
    </row>
    <row r="201" ht="14.25" customHeight="1">
      <c r="A201" s="12"/>
      <c r="B201" s="12"/>
      <c r="C201" s="12"/>
      <c r="D201" s="12"/>
      <c r="E201" s="12"/>
      <c r="F201" s="12"/>
      <c r="G201" s="12"/>
      <c r="H201" s="12"/>
      <c r="I201" s="12"/>
    </row>
    <row r="202" ht="14.25" customHeight="1">
      <c r="A202" s="12"/>
      <c r="B202" s="12"/>
      <c r="C202" s="12"/>
      <c r="D202" s="12"/>
      <c r="E202" s="12"/>
      <c r="F202" s="12"/>
      <c r="G202" s="12"/>
      <c r="H202" s="12"/>
      <c r="I202" s="12"/>
    </row>
    <row r="203" ht="14.25" customHeight="1">
      <c r="A203" s="12"/>
      <c r="B203" s="12"/>
      <c r="C203" s="12"/>
      <c r="D203" s="12"/>
      <c r="E203" s="12"/>
      <c r="F203" s="12"/>
      <c r="G203" s="12"/>
      <c r="H203" s="12"/>
      <c r="I203" s="12"/>
    </row>
    <row r="204" ht="14.25" customHeight="1">
      <c r="A204" s="12"/>
      <c r="B204" s="12"/>
      <c r="C204" s="12"/>
      <c r="D204" s="12"/>
      <c r="E204" s="12"/>
      <c r="F204" s="12"/>
      <c r="G204" s="12"/>
      <c r="H204" s="12"/>
      <c r="I204" s="12"/>
    </row>
    <row r="205" ht="14.25" customHeight="1">
      <c r="A205" s="12"/>
      <c r="B205" s="12"/>
      <c r="C205" s="12"/>
      <c r="D205" s="12"/>
      <c r="E205" s="12"/>
      <c r="F205" s="12"/>
      <c r="G205" s="12"/>
      <c r="H205" s="12"/>
      <c r="I205" s="12"/>
    </row>
    <row r="206" ht="14.25" customHeight="1">
      <c r="A206" s="12"/>
      <c r="B206" s="12"/>
      <c r="C206" s="12"/>
      <c r="D206" s="12"/>
      <c r="E206" s="12"/>
      <c r="F206" s="12"/>
      <c r="G206" s="12"/>
      <c r="H206" s="12"/>
      <c r="I206" s="12"/>
    </row>
    <row r="207" ht="14.25" customHeight="1">
      <c r="A207" s="12"/>
      <c r="B207" s="12"/>
      <c r="C207" s="12"/>
      <c r="D207" s="12"/>
      <c r="E207" s="12"/>
      <c r="F207" s="12"/>
      <c r="G207" s="12"/>
      <c r="H207" s="12"/>
      <c r="I207" s="12"/>
    </row>
    <row r="208" ht="14.25" customHeight="1">
      <c r="A208" s="12"/>
      <c r="B208" s="12"/>
      <c r="C208" s="12"/>
      <c r="D208" s="12"/>
      <c r="E208" s="12"/>
      <c r="F208" s="12"/>
      <c r="G208" s="12"/>
      <c r="H208" s="12"/>
      <c r="I208" s="12"/>
    </row>
    <row r="209" ht="14.25" customHeight="1">
      <c r="A209" s="12"/>
      <c r="B209" s="12"/>
      <c r="C209" s="12"/>
      <c r="D209" s="12"/>
      <c r="E209" s="12"/>
      <c r="F209" s="12"/>
      <c r="G209" s="12"/>
      <c r="H209" s="12"/>
      <c r="I209" s="12"/>
    </row>
    <row r="210" ht="14.25" customHeight="1">
      <c r="A210" s="12"/>
      <c r="B210" s="12"/>
      <c r="C210" s="12"/>
      <c r="D210" s="12"/>
      <c r="E210" s="12"/>
      <c r="F210" s="12"/>
      <c r="G210" s="12"/>
      <c r="H210" s="12"/>
      <c r="I210" s="12"/>
    </row>
    <row r="211" ht="14.25" customHeight="1">
      <c r="A211" s="12"/>
      <c r="B211" s="12"/>
      <c r="C211" s="12"/>
      <c r="D211" s="12"/>
      <c r="E211" s="12"/>
      <c r="F211" s="12"/>
      <c r="G211" s="12"/>
      <c r="H211" s="12"/>
      <c r="I211" s="12"/>
    </row>
    <row r="212" ht="14.25" customHeight="1">
      <c r="A212" s="12"/>
      <c r="B212" s="12"/>
      <c r="C212" s="12"/>
      <c r="D212" s="12"/>
      <c r="E212" s="12"/>
      <c r="F212" s="12"/>
      <c r="G212" s="12"/>
      <c r="H212" s="12"/>
      <c r="I212" s="12"/>
    </row>
    <row r="213" ht="14.25" customHeight="1">
      <c r="A213" s="12"/>
      <c r="B213" s="12"/>
      <c r="C213" s="12"/>
      <c r="D213" s="12"/>
      <c r="E213" s="12"/>
      <c r="F213" s="12"/>
      <c r="G213" s="12"/>
      <c r="H213" s="12"/>
      <c r="I213" s="12"/>
    </row>
    <row r="214" ht="14.25" customHeight="1">
      <c r="A214" s="12"/>
      <c r="B214" s="12"/>
      <c r="C214" s="12"/>
      <c r="D214" s="12"/>
      <c r="E214" s="12"/>
      <c r="F214" s="12"/>
      <c r="G214" s="12"/>
      <c r="H214" s="12"/>
      <c r="I214" s="12"/>
    </row>
    <row r="215" ht="14.25" customHeight="1">
      <c r="A215" s="12"/>
      <c r="B215" s="12"/>
      <c r="C215" s="12"/>
      <c r="D215" s="12"/>
      <c r="E215" s="12"/>
      <c r="F215" s="12"/>
      <c r="G215" s="12"/>
      <c r="H215" s="12"/>
      <c r="I215" s="12"/>
    </row>
    <row r="216" ht="14.25" customHeight="1">
      <c r="A216" s="12"/>
      <c r="B216" s="12"/>
      <c r="C216" s="12"/>
      <c r="D216" s="12"/>
      <c r="E216" s="12"/>
      <c r="F216" s="12"/>
      <c r="G216" s="12"/>
      <c r="H216" s="12"/>
      <c r="I216" s="12"/>
    </row>
    <row r="217" ht="14.25" customHeight="1">
      <c r="A217" s="12"/>
      <c r="B217" s="12"/>
      <c r="C217" s="12"/>
      <c r="D217" s="12"/>
      <c r="E217" s="12"/>
      <c r="F217" s="12"/>
      <c r="G217" s="12"/>
      <c r="H217" s="12"/>
      <c r="I217" s="12"/>
    </row>
    <row r="218" ht="14.25" customHeight="1">
      <c r="A218" s="12"/>
      <c r="B218" s="12"/>
      <c r="C218" s="12"/>
      <c r="D218" s="12"/>
      <c r="E218" s="12"/>
      <c r="F218" s="12"/>
      <c r="G218" s="12"/>
      <c r="H218" s="12"/>
      <c r="I218" s="12"/>
    </row>
    <row r="219" ht="14.25" customHeight="1">
      <c r="A219" s="12"/>
      <c r="B219" s="12"/>
      <c r="C219" s="12"/>
      <c r="D219" s="12"/>
      <c r="E219" s="12"/>
      <c r="F219" s="12"/>
      <c r="G219" s="12"/>
      <c r="H219" s="12"/>
      <c r="I219" s="12"/>
    </row>
    <row r="220" ht="14.25" customHeight="1">
      <c r="A220" s="12"/>
      <c r="B220" s="12"/>
      <c r="C220" s="12"/>
      <c r="D220" s="12"/>
      <c r="E220" s="12"/>
      <c r="F220" s="12"/>
      <c r="G220" s="12"/>
      <c r="H220" s="12"/>
      <c r="I220" s="12"/>
    </row>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