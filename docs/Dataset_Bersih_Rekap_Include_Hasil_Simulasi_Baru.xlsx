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Hype\Downloads\"/>
    </mc:Choice>
  </mc:AlternateContent>
  <xr:revisionPtr revIDLastSave="0" documentId="13_ncr:1_{EC27203C-19CB-413B-B391-254EC07B9A4B}" xr6:coauthVersionLast="47" xr6:coauthVersionMax="47" xr10:uidLastSave="{00000000-0000-0000-0000-000000000000}"/>
  <bookViews>
    <workbookView xWindow="-108" yWindow="-108" windowWidth="23256" windowHeight="12456" tabRatio="500" activeTab="1" xr2:uid="{00000000-000D-0000-FFFF-FFFF00000000}"/>
  </bookViews>
  <sheets>
    <sheet name="Protokol &amp; Klasifikasi" sheetId="1" r:id="rId1"/>
    <sheet name="Dataset Actual Bersih" sheetId="2" r:id="rId2"/>
    <sheet name="Hasil Skenario Sistem" sheetId="3" r:id="rId3"/>
    <sheet name="Excluded Log Anomali"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4" i="3" l="1"/>
  <c r="AG39" i="3"/>
  <c r="AC39" i="3"/>
  <c r="W39" i="3"/>
  <c r="AI39" i="3" s="1"/>
  <c r="V39" i="3"/>
  <c r="T39" i="3"/>
  <c r="K39" i="3"/>
  <c r="F39" i="3"/>
  <c r="E39" i="3"/>
  <c r="AG38" i="3"/>
  <c r="AC38" i="3"/>
  <c r="V38" i="3"/>
  <c r="T38" i="3"/>
  <c r="W38" i="3" s="1"/>
  <c r="AI38" i="3" s="1"/>
  <c r="K38" i="3"/>
  <c r="E38" i="3"/>
  <c r="F38" i="3" s="1"/>
  <c r="AG37" i="3"/>
  <c r="AC37" i="3"/>
  <c r="V37" i="3"/>
  <c r="W37" i="3" s="1"/>
  <c r="AI37" i="3" s="1"/>
  <c r="T37" i="3"/>
  <c r="K37" i="3"/>
  <c r="E37" i="3"/>
  <c r="F37" i="3" s="1"/>
  <c r="AG36" i="3"/>
  <c r="AC36" i="3"/>
  <c r="V36" i="3"/>
  <c r="W36" i="3" s="1"/>
  <c r="AI36" i="3" s="1"/>
  <c r="T36" i="3"/>
  <c r="K36" i="3"/>
  <c r="F36" i="3"/>
  <c r="E36" i="3"/>
  <c r="AG35" i="3"/>
  <c r="AC35" i="3"/>
  <c r="W35" i="3"/>
  <c r="AI35" i="3" s="1"/>
  <c r="V35" i="3"/>
  <c r="T35" i="3"/>
  <c r="K35" i="3"/>
  <c r="F35" i="3"/>
  <c r="E35" i="3"/>
  <c r="AG34" i="3"/>
  <c r="AC34" i="3"/>
  <c r="V34" i="3"/>
  <c r="T34" i="3"/>
  <c r="W34" i="3" s="1"/>
  <c r="AI34" i="3" s="1"/>
  <c r="K34" i="3"/>
  <c r="E34" i="3"/>
  <c r="F34" i="3" s="1"/>
  <c r="AG33" i="3"/>
  <c r="AC33" i="3"/>
  <c r="V33" i="3"/>
  <c r="W33" i="3" s="1"/>
  <c r="AI33" i="3" s="1"/>
  <c r="T33" i="3"/>
  <c r="K33" i="3"/>
  <c r="E33" i="3"/>
  <c r="F33" i="3" s="1"/>
  <c r="AG32" i="3"/>
  <c r="AC32" i="3"/>
  <c r="V32" i="3"/>
  <c r="W32" i="3" s="1"/>
  <c r="AI32" i="3" s="1"/>
  <c r="T32" i="3"/>
  <c r="K32" i="3"/>
  <c r="F32" i="3"/>
  <c r="E32" i="3"/>
  <c r="AG31" i="3"/>
  <c r="AC31" i="3"/>
  <c r="W31" i="3"/>
  <c r="AI31" i="3" s="1"/>
  <c r="V31" i="3"/>
  <c r="T31" i="3"/>
  <c r="K31" i="3"/>
  <c r="F31" i="3"/>
  <c r="E31" i="3"/>
  <c r="AG30" i="3"/>
  <c r="AC30" i="3"/>
  <c r="V30" i="3"/>
  <c r="T30" i="3"/>
  <c r="W30" i="3" s="1"/>
  <c r="AI30" i="3" s="1"/>
  <c r="K30" i="3"/>
  <c r="E30" i="3"/>
  <c r="F30" i="3" s="1"/>
  <c r="AG29" i="3"/>
  <c r="AC29" i="3"/>
  <c r="V29" i="3"/>
  <c r="W29" i="3" s="1"/>
  <c r="AI29" i="3" s="1"/>
  <c r="T29" i="3"/>
  <c r="K29" i="3"/>
  <c r="E29" i="3"/>
  <c r="F29" i="3" s="1"/>
  <c r="AG28" i="3"/>
  <c r="AC28" i="3"/>
  <c r="V28" i="3"/>
  <c r="W28" i="3" s="1"/>
  <c r="AI28" i="3" s="1"/>
  <c r="T28" i="3"/>
  <c r="K28" i="3"/>
  <c r="F28" i="3"/>
  <c r="E28" i="3"/>
  <c r="AG27" i="3"/>
  <c r="AC27" i="3"/>
  <c r="W27" i="3"/>
  <c r="AI27" i="3" s="1"/>
  <c r="V27" i="3"/>
  <c r="T27" i="3"/>
  <c r="K27" i="3"/>
  <c r="F27" i="3"/>
  <c r="E27" i="3"/>
  <c r="AG26" i="3"/>
  <c r="AC26" i="3"/>
  <c r="V26" i="3"/>
  <c r="T26" i="3"/>
  <c r="W26" i="3" s="1"/>
  <c r="AI26" i="3" s="1"/>
  <c r="K26" i="3"/>
  <c r="E26" i="3"/>
  <c r="F26" i="3" s="1"/>
  <c r="AG25" i="3"/>
  <c r="AC25" i="3"/>
  <c r="V25" i="3"/>
  <c r="W25" i="3" s="1"/>
  <c r="AI25" i="3" s="1"/>
  <c r="T25" i="3"/>
  <c r="K25" i="3"/>
  <c r="E25" i="3"/>
  <c r="F25" i="3" s="1"/>
  <c r="AG24" i="3"/>
  <c r="AC24" i="3"/>
  <c r="V24" i="3"/>
  <c r="W24" i="3" s="1"/>
  <c r="AI24" i="3" s="1"/>
  <c r="T24" i="3"/>
  <c r="K24" i="3"/>
  <c r="F24" i="3"/>
  <c r="E24" i="3"/>
  <c r="AG23" i="3"/>
  <c r="AC23" i="3"/>
  <c r="W23" i="3"/>
  <c r="AI23" i="3" s="1"/>
  <c r="V23" i="3"/>
  <c r="T23" i="3"/>
  <c r="K23" i="3"/>
  <c r="F23" i="3"/>
  <c r="E23" i="3"/>
  <c r="AG22" i="3"/>
  <c r="AC22" i="3"/>
  <c r="V22" i="3"/>
  <c r="T22" i="3"/>
  <c r="W22" i="3" s="1"/>
  <c r="AI22" i="3" s="1"/>
  <c r="K22" i="3"/>
  <c r="E22" i="3"/>
  <c r="F22" i="3" s="1"/>
  <c r="AG21" i="3"/>
  <c r="AC21" i="3"/>
  <c r="V21" i="3"/>
  <c r="W21" i="3" s="1"/>
  <c r="AI21" i="3" s="1"/>
  <c r="T21" i="3"/>
  <c r="K21" i="3"/>
  <c r="E21" i="3"/>
  <c r="F21" i="3" s="1"/>
  <c r="AG20" i="3"/>
  <c r="AC20" i="3"/>
  <c r="V20" i="3"/>
  <c r="W20" i="3" s="1"/>
  <c r="AI20" i="3" s="1"/>
  <c r="T20" i="3"/>
  <c r="K20" i="3"/>
  <c r="F20" i="3"/>
  <c r="E20" i="3"/>
  <c r="AG19" i="3"/>
  <c r="AC19" i="3"/>
  <c r="V19" i="3"/>
  <c r="T19" i="3"/>
  <c r="W19" i="3" s="1"/>
  <c r="AI19" i="3" s="1"/>
  <c r="K19" i="3"/>
  <c r="F19" i="3"/>
  <c r="E19" i="3"/>
  <c r="AG18" i="3"/>
  <c r="AC18" i="3"/>
  <c r="V18" i="3"/>
  <c r="T18" i="3"/>
  <c r="W18" i="3" s="1"/>
  <c r="AI18" i="3" s="1"/>
  <c r="K18" i="3"/>
  <c r="E18" i="3"/>
  <c r="F18" i="3" s="1"/>
  <c r="AG17" i="3"/>
  <c r="AC17" i="3"/>
  <c r="V17" i="3"/>
  <c r="W17" i="3" s="1"/>
  <c r="AI17" i="3" s="1"/>
  <c r="T17" i="3"/>
  <c r="K17" i="3"/>
  <c r="E17" i="3"/>
  <c r="F17" i="3" s="1"/>
  <c r="AG16" i="3"/>
  <c r="AC16" i="3"/>
  <c r="V16" i="3"/>
  <c r="W16" i="3" s="1"/>
  <c r="AI16" i="3" s="1"/>
  <c r="T16" i="3"/>
  <c r="K16" i="3"/>
  <c r="F16" i="3"/>
  <c r="E16" i="3"/>
  <c r="AG15" i="3"/>
  <c r="AC15" i="3"/>
  <c r="V15" i="3"/>
  <c r="T15" i="3"/>
  <c r="W15" i="3" s="1"/>
  <c r="AI15" i="3" s="1"/>
  <c r="K15" i="3"/>
  <c r="F15" i="3"/>
  <c r="E15" i="3"/>
  <c r="AG14" i="3"/>
  <c r="AC14" i="3"/>
  <c r="V14" i="3"/>
  <c r="T14" i="3"/>
  <c r="W14" i="3" s="1"/>
  <c r="AI14" i="3" s="1"/>
  <c r="K14" i="3"/>
  <c r="E14" i="3"/>
  <c r="F14" i="3" s="1"/>
  <c r="AG13" i="3"/>
  <c r="AC13" i="3"/>
  <c r="V13" i="3"/>
  <c r="W13" i="3" s="1"/>
  <c r="AI13" i="3" s="1"/>
  <c r="T13" i="3"/>
  <c r="K13" i="3"/>
  <c r="E13" i="3"/>
  <c r="F13" i="3" s="1"/>
  <c r="AG12" i="3"/>
  <c r="AC12" i="3"/>
  <c r="V12" i="3"/>
  <c r="W12" i="3" s="1"/>
  <c r="AI12" i="3" s="1"/>
  <c r="T12" i="3"/>
  <c r="K12" i="3"/>
  <c r="F12" i="3"/>
  <c r="E12" i="3"/>
  <c r="AG11" i="3"/>
  <c r="AC11" i="3"/>
  <c r="V11" i="3"/>
  <c r="T11" i="3"/>
  <c r="W11" i="3" s="1"/>
  <c r="AI11" i="3" s="1"/>
  <c r="K11" i="3"/>
  <c r="F11" i="3"/>
  <c r="E11" i="3"/>
  <c r="AG10" i="3"/>
  <c r="AC10" i="3"/>
  <c r="V10" i="3"/>
  <c r="T10" i="3"/>
  <c r="W10" i="3" s="1"/>
  <c r="AI10" i="3" s="1"/>
  <c r="K10" i="3"/>
  <c r="E10" i="3"/>
  <c r="F10" i="3" s="1"/>
  <c r="AG9" i="3"/>
  <c r="AC9" i="3"/>
  <c r="V9" i="3"/>
  <c r="W9" i="3" s="1"/>
  <c r="AI9" i="3" s="1"/>
  <c r="T9" i="3"/>
  <c r="K9" i="3"/>
  <c r="E9" i="3"/>
  <c r="F9" i="3" s="1"/>
  <c r="AG8" i="3"/>
  <c r="AC8" i="3"/>
  <c r="V8" i="3"/>
  <c r="W8" i="3" s="1"/>
  <c r="AI8" i="3" s="1"/>
  <c r="T8" i="3"/>
  <c r="K8" i="3"/>
  <c r="F8" i="3"/>
  <c r="E8" i="3"/>
  <c r="AG7" i="3"/>
  <c r="AC7" i="3"/>
  <c r="V7" i="3"/>
  <c r="T7" i="3"/>
  <c r="W7" i="3" s="1"/>
  <c r="AI7" i="3" s="1"/>
  <c r="K7" i="3"/>
  <c r="F7" i="3"/>
  <c r="E7" i="3"/>
  <c r="AG6" i="3"/>
  <c r="AC6" i="3"/>
  <c r="V6" i="3"/>
  <c r="T6" i="3"/>
  <c r="W6" i="3" s="1"/>
  <c r="AI6" i="3" s="1"/>
  <c r="K6" i="3"/>
  <c r="E6" i="3"/>
  <c r="F6" i="3" s="1"/>
  <c r="AG5" i="3"/>
  <c r="AC5" i="3"/>
  <c r="V5" i="3"/>
  <c r="W5" i="3" s="1"/>
  <c r="AI5" i="3" s="1"/>
  <c r="T5" i="3"/>
  <c r="K5" i="3"/>
  <c r="E5" i="3"/>
  <c r="F5" i="3" s="1"/>
  <c r="AG4" i="3"/>
  <c r="AC4" i="3"/>
  <c r="V4" i="3"/>
  <c r="AI4" i="3" s="1"/>
  <c r="T4" i="3"/>
  <c r="K4" i="3"/>
  <c r="F4" i="3"/>
  <c r="E4" i="3"/>
</calcChain>
</file>

<file path=xl/sharedStrings.xml><?xml version="1.0" encoding="utf-8"?>
<sst xmlns="http://schemas.openxmlformats.org/spreadsheetml/2006/main" count="683" uniqueCount="274">
  <si>
    <t>PROTOKOL PEMBERSIHAN DATA REKAP AKTUAL PADI-BEBEK (ASTUNGKARA WAY)</t>
  </si>
  <si>
    <t>Kategori</t>
  </si>
  <si>
    <t>Jumlah Baris</t>
  </si>
  <si>
    <t>Tindakan</t>
  </si>
  <si>
    <t>Kriteria (kode, dapat diaudit)</t>
  </si>
  <si>
    <t>Clean (valid untuk uji akurasi)</t>
  </si>
  <si>
    <t>KEEP</t>
  </si>
  <si>
    <t>Bebek&gt;0, A_are&gt;=2.5, tidak ada catatan wabah/hama/pinjam eksplisit, bukan demplot.</t>
  </si>
  <si>
    <t>Excluded (anomali/non-representatif)</t>
  </si>
  <si>
    <t>DROP</t>
  </si>
  <si>
    <t>Memenuhi salah satu: J&lt;=0, A_are&lt;2.5, catatan wabah/hama/pinjam, atau demplot eksperimental.</t>
  </si>
  <si>
    <t>GAP DATA KRITIS (tidak tersedia di file mentah):</t>
  </si>
  <si>
    <t>• U_bebek (umur bebek saat masuk sawah, hari) — TIDAK ADA kolom ini di file mentah. Model mensyaratkan U_bebek sebagai quality gate (status umur, harga beli, batas durasi, confidence Q_output).</t>
  </si>
  <si>
    <t>• t_duck / tanggal lepas-tarik bebek (durasi aktual bebek di sawah) — TIDAK ADA kolom ini. Kolom 'Duration (days)' di file mentah adalah durasi VARIETAS PADI, bukan durasi bebek, dan bernilai konstan 100 di hampir semua baris — indikasi kuat ini adalah nilai default/placeholder, bukan data lapangan riil.</t>
  </si>
  <si>
    <t>DATASET REKAP AKTUAL BERSIH (36 SIKLUS) — DIEKSTRAK LANGSUNG DARI FILE MENTAH</t>
  </si>
  <si>
    <t>Excel Row (Sumber)</t>
  </si>
  <si>
    <t>Batch/Section (Sumber)</t>
  </si>
  <si>
    <t>Farmer Name</t>
  </si>
  <si>
    <t>Subak</t>
  </si>
  <si>
    <t>Munduk</t>
  </si>
  <si>
    <t>Group No</t>
  </si>
  <si>
    <t>Farmer Cycle No</t>
  </si>
  <si>
    <t>A_are (Luas Program)</t>
  </si>
  <si>
    <t>J (Jumlah Ekor Bebek)</t>
  </si>
  <si>
    <t>d_are (Kepadatan Ekor/Are)</t>
  </si>
  <si>
    <t>d_ha (Kepadatan Ekor/Ha)</t>
  </si>
  <si>
    <t>Estimatasi Kualitatif U_bebek (Umur Bebek Masuk, hari)</t>
  </si>
  <si>
    <t>Estimasi Kualitatif t_duck (Durasi Aktual, hari)</t>
  </si>
  <si>
    <t>Varietas (S)</t>
  </si>
  <si>
    <t>Sistem Tanam (S)</t>
  </si>
  <si>
    <t>Actual Yield (kg/are)</t>
  </si>
  <si>
    <t>Price Gabah (Rp/kg)</t>
  </si>
  <si>
    <t>Actual Gabah Revenue (Rp)</t>
  </si>
  <si>
    <t>Buy Price Duck (Rp/ekor)</t>
  </si>
  <si>
    <t>Feed Cost (Rp)</t>
  </si>
  <si>
    <t>Duck Sale Revenue (Rp)</t>
  </si>
  <si>
    <t>Total Revenue - Core (Rp) [Revenue_gabah + Revenue_duck]</t>
  </si>
  <si>
    <t>Cost Total Cash - Core (Rp) [Cost_duck_buy + Cost_feed]</t>
  </si>
  <si>
    <t>Profit Net Cash - Core Model Consistent (Rp)</t>
  </si>
  <si>
    <t>Weeding Labor Cost (Rp)</t>
  </si>
  <si>
    <t>Total Labor Cost (Rp)</t>
  </si>
  <si>
    <t>Chemical Fertilizer Cost (Rp)</t>
  </si>
  <si>
    <t>Organic Matter Cost (Rp)</t>
  </si>
  <si>
    <t>Pesticide Cost (Rp)</t>
  </si>
  <si>
    <t>Herbicide Cost (Rp)</t>
  </si>
  <si>
    <t>Total Livestock Investment / C_infra proxy (Rp)</t>
  </si>
  <si>
    <t>Total Profit - Raw Farmer P&amp;L (Rp, REFERENSI SAJA, termasuk Weeding/Pesticide/Infra/Fertilizer</t>
  </si>
  <si>
    <t>Total Operating Profit (Rp, referensi saja)</t>
  </si>
  <si>
    <t>Density Flag (vs K_max_are lokal)</t>
  </si>
  <si>
    <t>Field Notes (Verbatim dari Sumber)</t>
  </si>
  <si>
    <t>Subak Uma Lambing Munduk Lambing Batch 1 (cyle 1)</t>
  </si>
  <si>
    <t>I Wayan Suarta</t>
  </si>
  <si>
    <t>Uma Lambing</t>
  </si>
  <si>
    <t>Lambing</t>
  </si>
  <si>
    <t>Sertani 13</t>
  </si>
  <si>
    <t>Null(default Jarwo 2:1)</t>
  </si>
  <si>
    <t>I Made Widana</t>
  </si>
  <si>
    <t>I Wayan Suwendhi Artha</t>
  </si>
  <si>
    <t>I Ketut Tantra</t>
  </si>
  <si>
    <t>I Made Arsania</t>
  </si>
  <si>
    <t>I Nyoman Ranes</t>
  </si>
  <si>
    <t>FLAG: Densitas kepadatan per are &lt; 1 ekor/are</t>
  </si>
  <si>
    <t>made from greens and cow manure from his live stock. He use 2 x  5 kg paint bucket</t>
  </si>
  <si>
    <t>I Wayan Wiratna</t>
  </si>
  <si>
    <t>from his own livestock manure</t>
  </si>
  <si>
    <t>I Ketut Alit Sudarsana</t>
  </si>
  <si>
    <t>Cow secretion  from his own live stock ; 32 L of Cow pee</t>
  </si>
  <si>
    <t>I Gusti Ngurah Rai Sukarta</t>
  </si>
  <si>
    <t>150 ml of Ecoenzim</t>
  </si>
  <si>
    <t>Subak Uma Lambing Munduk Bias Batch 1 (cyle 1)</t>
  </si>
  <si>
    <t>I Wayan Sadia</t>
  </si>
  <si>
    <t>Bias</t>
  </si>
  <si>
    <t>Sertani</t>
  </si>
  <si>
    <t>use 3 kg seeds, not buy seeds | He made liquid fertilizer from leftover fruit, only buy 1 kg sugar | He made natural pesticide from soursop leaf, papaya leaf, tobbaco, onion, and garlic only buy the herbs 20000</t>
  </si>
  <si>
    <t>Subak Uma Lambing Munduk Lambing Batch 1 (cyle 2)</t>
  </si>
  <si>
    <t>Jarwo 2:1</t>
  </si>
  <si>
    <t>FLAG: Densitas (4.55 ekor/are) &gt; K_max_are acuan lokal (4.0)</t>
  </si>
  <si>
    <t>use 5 kg seeds | Use compost from chicken manure | He used natural pesticide from tobacco, garlic and onion skin, spend 6 liter  (4 sprayer )</t>
  </si>
  <si>
    <t>use 5 kg seeds | He used papaya leaf with garlic, spend 2,2 l/time application, total 7 times application</t>
  </si>
  <si>
    <t>use 2 kg seeds, not buy seeds | Only use Jerami compost and duck manure come from ducks that stays there during fallow period</t>
  </si>
  <si>
    <t>Inpari</t>
  </si>
  <si>
    <t>use 2 kg seeds | He used papaya leaf with garlic, 1 times application spend 3 liters natural pesticide with water added</t>
  </si>
  <si>
    <t xml:space="preserve">Inpari </t>
  </si>
  <si>
    <t>use 2 kg seeds</t>
  </si>
  <si>
    <t>use 1 kg seeds | She used natural pesticide from AW: soursop leaf, papaya leaf, tobbaco, garlic, galangal, and kapur 1 time application.</t>
  </si>
  <si>
    <t>I Ketut Alit Sudarsana bring 29 kg home for seeds | use 5 kg seeds, not buy seeds | He used fermented cow pee with molase, em4, gamal leaf and onion/garlic skin , he spent 16 liters of the fermentation</t>
  </si>
  <si>
    <t>FLAG: Densitas (9.09 ekor/are) &gt; K_max_are acuan lokal (4.0)</t>
  </si>
  <si>
    <t>use 5  kg seeds | Only use Jerami compost</t>
  </si>
  <si>
    <t>Subak Uma Lambing Munduk Bias Batch 2 (cycle 1)</t>
  </si>
  <si>
    <t>I Gusti Nyoman Ngurah Wirasuta</t>
  </si>
  <si>
    <t>He only had 7 ducks left (not sell yet) | use 3  kg seeds | Use Cow Manure compost | He used 440 ml of natural pesticide that he made from papaya leaf, tobacco, garlic | Not plant the border plant yet</t>
  </si>
  <si>
    <t>Subak Uma Lambing Munduk Lambing Batch 3 (cycle 1)</t>
  </si>
  <si>
    <t>He use ecoenzym 900 ml | He use natural pesticide from papaya leaf and tobacco, he spent 900 ml pesticides | Not plant the border plant yet</t>
  </si>
  <si>
    <t>Subak Uma Lambing Munduk Lambing Batch 1 (cycle 3)</t>
  </si>
  <si>
    <t>Tegel</t>
  </si>
  <si>
    <t>Not plant the border plant yet</t>
  </si>
  <si>
    <t>Sertani a 13</t>
  </si>
  <si>
    <t>He use liquid fertilizer that also function as natural pesticide, he spent 100 liters on fifth times application. Special for the 5th application he add tobacco | He use liquid fertilizer that also function as natural pesticide, he spent 40 liters on fifth times application. Special for the 5th application he add tobacco</t>
  </si>
  <si>
    <t>He use ecoenzym 600 ml | He use natural pesticide from papaya leaf and tobacco, he spent 600 ml pesticides | Not plant the border plant yet</t>
  </si>
  <si>
    <t>Subak Uma Lambing Munduk Bias Batch 2 (cycle 2)</t>
  </si>
  <si>
    <t>Inpari 32</t>
  </si>
  <si>
    <t>SUL Munduk Lambing Batch 1 (cycle 4)</t>
  </si>
  <si>
    <t>FLAG: Densitas (4.17 ekor/are) &gt; K_max_are acuan lokal (4.0)</t>
  </si>
  <si>
    <t>use duck from previous cycle</t>
  </si>
  <si>
    <t>Subak Pedahanan, Munduk Babakan (cycle 2)</t>
  </si>
  <si>
    <t>I Wayan Jana</t>
  </si>
  <si>
    <t>Pedahanan</t>
  </si>
  <si>
    <t>Babakan</t>
  </si>
  <si>
    <t>- Tambahan jual Gonda 30000
* Panen Gonda dan Kacang Tunggak untuk dapur &gt; 15 kali masing-masing -&gt; nilai 5000/panen | Liquid fertilizer 2 = AW recipe + Menir + Ikan Basi + Telur busuk</t>
  </si>
  <si>
    <t>I Gusti Ngurah Putu Suka Nada</t>
  </si>
  <si>
    <t>I Wayan Arta Susila</t>
  </si>
  <si>
    <t>SUL Munduk Lambing Batch 1 (cycle 5)</t>
  </si>
  <si>
    <t>Suppose to be without Azolla, but it came naturally</t>
  </si>
  <si>
    <t>SUL Munduk Lambing Batch 2 (cycle 4)</t>
  </si>
  <si>
    <t>I Nyoman Suwitra</t>
  </si>
  <si>
    <t>Duck and livestock investment cost subcidies by AW</t>
  </si>
  <si>
    <t>SUL Munduk Lambing Batch 3 (cycle 3)</t>
  </si>
  <si>
    <t>Alm. I Ketut Tantra</t>
  </si>
  <si>
    <t>Subak Ketapang, Munduk Ketapang Batch 1 (cycle 3)</t>
  </si>
  <si>
    <t>I Wayan Buana</t>
  </si>
  <si>
    <t>Ketapang</t>
  </si>
  <si>
    <t>I Ketut Buda</t>
  </si>
  <si>
    <t>I Made Suardika</t>
  </si>
  <si>
    <t>HASIL SKENARIO SISTEM DSS PADI-BEBEK — INPUT &amp; OUTPUT SISTEM (36 SKENARIO UJI, 1:1 DENGAN DATASET ACTUAL BERSIH)</t>
  </si>
  <si>
    <t>No</t>
  </si>
  <si>
    <t>Nama Skenario</t>
  </si>
  <si>
    <t>A_are (Luas Lahan Aktif, are)</t>
  </si>
  <si>
    <t>J (Jumlah Bebek Ditebar, ekor)</t>
  </si>
  <si>
    <t>d_are (Kepadatan, ekor/are)</t>
  </si>
  <si>
    <t>d_ha (Kepadatan, ekor/ha)</t>
  </si>
  <si>
    <t>Umur Bebek Masuk (hari)</t>
  </si>
  <si>
    <t>Varietas Padi</t>
  </si>
  <si>
    <t>Sistem Tanam</t>
  </si>
  <si>
    <t>Tanggal Tanam</t>
  </si>
  <si>
    <t>Harga Beli Bebek (Rp/ekor)</t>
  </si>
  <si>
    <t>Tanggal Masuk Bebek</t>
  </si>
  <si>
    <t>Tanggal Tarik Bebek</t>
  </si>
  <si>
    <t>Tanggal Panen Gabah</t>
  </si>
  <si>
    <t>N_survive - Populasi Bebek Bertahan (ekor)</t>
  </si>
  <si>
    <t>Hasil Panen Prediksi (kg/are)</t>
  </si>
  <si>
    <t>Hasil Panen Prediksi Total (kg)</t>
  </si>
  <si>
    <t>Revenue Gabah (Rp)</t>
  </si>
  <si>
    <t>Revenue Bebek (Rp)</t>
  </si>
  <si>
    <t>Total Revenue (Rp)</t>
  </si>
  <si>
    <t>Cost Beli Bebek (Rp)</t>
  </si>
  <si>
    <t>Total Cost Cash - Core (Rp)</t>
  </si>
  <si>
    <t>Profit Net Cash (Rp)</t>
  </si>
  <si>
    <t>Cost Pakan - Referensi Saja (Rp)</t>
  </si>
  <si>
    <t>Cost Penyiangan/Weeding - Referensi Saja (Rp)</t>
  </si>
  <si>
    <t>Cost Pestisida - Referensi Saja (Rp)</t>
  </si>
  <si>
    <t>Cost Infra - Net - Referensi Saja (Rp)</t>
  </si>
  <si>
    <t>Cost Infra - Cage - Referensi Saja (Rp)</t>
  </si>
  <si>
    <t>Cost Infrastruktur Total - Referensi Saja (Rp)</t>
  </si>
  <si>
    <t>Cost Pupuk Urea - Referensi Saja (Rp)</t>
  </si>
  <si>
    <t>Cost Pupuk Phonska - Referensi Saja (Rp)</t>
  </si>
  <si>
    <t>Cost Pupuk KCl - Referensi Saja (Rp)</t>
  </si>
  <si>
    <t>Cost Pupuk Total - Referensi Saja (Rp)</t>
  </si>
  <si>
    <t>Valuasi Ekonomi Penyiangan/Weeding (Rp)</t>
  </si>
  <si>
    <t>Profit Net Full (Rp)</t>
  </si>
  <si>
    <t>I Wayan Suarta (Uma Lambing, Lambing) — Subak Uma Lambing Munduk Lambing Batch 1 (cyle 1)</t>
  </si>
  <si>
    <t>Jajar Legowo</t>
  </si>
  <si>
    <t>2026-07-12</t>
  </si>
  <si>
    <t>2026-08-02</t>
  </si>
  <si>
    <t>2026-09-15</t>
  </si>
  <si>
    <t>2026-11-03</t>
  </si>
  <si>
    <t>I Made Widana (Uma Lambing, Lambing) — Subak Uma Lambing Munduk Lambing Batch 1 (cyle 1)</t>
  </si>
  <si>
    <t>I Wayan Suwendhi Artha (Uma Lambing, Lambing) — Subak Uma Lambing Munduk Lambing Batch 1 (cyle 1)</t>
  </si>
  <si>
    <t>I Ketut Tantra (Uma Lambing, Lambing) — Subak Uma Lambing Munduk Lambing Batch 1 (cyle 1)</t>
  </si>
  <si>
    <t>I Made Arsania (Uma Lambing, Lambing) — Subak Uma Lambing Munduk Lambing Batch 1 (cyle 1)</t>
  </si>
  <si>
    <t>I Nyoman Ranes (Uma Lambing, Lambing) — Subak Uma Lambing Munduk Lambing Batch 1 (cyle 1)</t>
  </si>
  <si>
    <t>I Wayan Wiratna (Uma Lambing, Lambing) — Subak Uma Lambing Munduk Lambing Batch 1 (cyle 1)</t>
  </si>
  <si>
    <t>I Ketut Alit Sudarsana (Uma Lambing, Lambing) — Subak Uma Lambing Munduk Lambing Batch 1 (cyle 1)</t>
  </si>
  <si>
    <t>I Gusti Ngurah Rai Sukarta (Uma Lambing, Lambing) — Subak Uma Lambing Munduk Lambing Batch 1 (cyle 1)</t>
  </si>
  <si>
    <t>I Wayan Sadia (Uma Lambing, Bias) — Subak Uma Lambing Munduk Bias Batch 1 (cyle 1)</t>
  </si>
  <si>
    <t>I Wayan Suarta (Uma Lambing, Lambing) — Subak Uma Lambing Munduk Lambing Batch 1 (cyle 2)</t>
  </si>
  <si>
    <t>I Made Widana (Uma Lambing, Lambing) — Subak Uma Lambing Munduk Lambing Batch 1 (cyle 2)</t>
  </si>
  <si>
    <t>I Wayan Suwendhi Artha (Uma Lambing, Lambing) — Subak Uma Lambing Munduk Lambing Batch 1 (cyle 2)</t>
  </si>
  <si>
    <t>I Ketut Tantra (Uma Lambing, Lambing) — Subak Uma Lambing Munduk Lambing Batch 1 (cyle 2)</t>
  </si>
  <si>
    <t>2026-11-23</t>
  </si>
  <si>
    <t>I Nyoman Ranes (Uma Lambing, Lambing) — Subak Uma Lambing Munduk Lambing Batch 1 (cyle 2)</t>
  </si>
  <si>
    <t>I Wayan Wiratna (Uma Lambing, Lambing) — Subak Uma Lambing Munduk Lambing Batch 1 (cyle 2)</t>
  </si>
  <si>
    <t>I Ketut Alit Sudarsana (Uma Lambing, Lambing) — Subak Uma Lambing Munduk Lambing Batch 1 (cyle 2)</t>
  </si>
  <si>
    <t>I Gusti Ngurah Rai Sukarta (Uma Lambing, Lambing) — Subak Uma Lambing Munduk Lambing Batch 1 (cyle 2)</t>
  </si>
  <si>
    <t>I Gusti Nyoman Ngurah Wirasuta (Uma Lambing, Bias) — Subak Uma Lambing Munduk Bias Batch 2 (cycle 1)</t>
  </si>
  <si>
    <t>2024-02-19</t>
  </si>
  <si>
    <t>2024-03-11</t>
  </si>
  <si>
    <t>2024-04-24</t>
  </si>
  <si>
    <t>2024-06-12</t>
  </si>
  <si>
    <t>I Gusti Ngurah Rai Sukarta (Uma Lambing, Lambing) — Subak Uma Lambing Munduk Lambing Batch 3 (cycle 1)</t>
  </si>
  <si>
    <t>2024-04-15</t>
  </si>
  <si>
    <t>2024-05-06</t>
  </si>
  <si>
    <t>2024-06-19</t>
  </si>
  <si>
    <t>2024-08-07</t>
  </si>
  <si>
    <t>I Wayan Suarta (Uma Lambing, Lambing) — Subak Uma Lambing Munduk Lambing Batch 1 (cycle 3)</t>
  </si>
  <si>
    <t>2024-04-12</t>
  </si>
  <si>
    <t>2024-05-03</t>
  </si>
  <si>
    <t>2024-06-16</t>
  </si>
  <si>
    <t>2024-08-24</t>
  </si>
  <si>
    <t>I Wayan Suwendhi Artha (Uma Lambing, Lambing) — Subak Uma Lambing Munduk Lambing Batch 1 (cycle 3)</t>
  </si>
  <si>
    <t>2024-04-23</t>
  </si>
  <si>
    <t>2024-05-14</t>
  </si>
  <si>
    <t>2024-06-27</t>
  </si>
  <si>
    <t>2024-08-15</t>
  </si>
  <si>
    <t>I Ketut Alit Sudarsana (Uma Lambing, Lambing) — Subak Uma Lambing Munduk Lambing Batch 1 (cycle 3)</t>
  </si>
  <si>
    <t>2024-04-22</t>
  </si>
  <si>
    <t>2024-05-13</t>
  </si>
  <si>
    <t>2024-06-26</t>
  </si>
  <si>
    <t>2024-08-14</t>
  </si>
  <si>
    <t>I Gusti Ngurah Rai Sukarta (Uma Lambing, Lambing) — Subak Uma Lambing Munduk Lambing Batch 1 (cycle 3)</t>
  </si>
  <si>
    <t>I Gusti Nyoman Ngurah Wirasuta (Uma Lambing, Bias) — Subak Uma Lambing Munduk Bias Batch 2 (cycle 2)</t>
  </si>
  <si>
    <t>2024-07-17</t>
  </si>
  <si>
    <t>2024-09-20</t>
  </si>
  <si>
    <t>2024-11-28</t>
  </si>
  <si>
    <t>I Made Arsania (Uma Lambing, Lambing) — SUL Munduk Lambing Batch 1 (cycle 4)</t>
  </si>
  <si>
    <t>2024-10-01</t>
  </si>
  <si>
    <t>2024-10-22</t>
  </si>
  <si>
    <t>2024-12-05</t>
  </si>
  <si>
    <t>2025-01-23</t>
  </si>
  <si>
    <t>I Ketut Alit Sudarsana (Uma Lambing, Lambing) — SUL Munduk Lambing Batch 1 (cycle 4)</t>
  </si>
  <si>
    <t>2024-09-28</t>
  </si>
  <si>
    <t>2024-10-19</t>
  </si>
  <si>
    <t>2024-12-02</t>
  </si>
  <si>
    <t>2025-02-09</t>
  </si>
  <si>
    <t>I Wayan Jana (Pedahanan, Babakan) — Subak Pedahanan, Munduk Babakan (cycle 2)</t>
  </si>
  <si>
    <t>I Gusti Ngurah Putu Suka Nada (Pedahanan, Babakan) — Subak Pedahanan, Munduk Babakan (cycle 2)</t>
  </si>
  <si>
    <t>I Wayan Arta Susila (Pedahanan, Babakan) — Subak Pedahanan, Munduk Babakan (cycle 2)</t>
  </si>
  <si>
    <t>I Wayan Suwendhi Artha (Uma Lambing, Lambing) — SUL Munduk Lambing Batch 1 (cycle 5)</t>
  </si>
  <si>
    <t>2025-04-09</t>
  </si>
  <si>
    <t>2025-04-30</t>
  </si>
  <si>
    <t>2025-06-13</t>
  </si>
  <si>
    <t>2025-08-01</t>
  </si>
  <si>
    <t>I Nyoman Suwitra (Uma Lambing, Lambing) — SUL Munduk Lambing Batch 2 (cycle 4)</t>
  </si>
  <si>
    <t>Alm. I Ketut Tantra (Uma Lambing, Lambing) — SUL Munduk Lambing Batch 3 (cycle 3)</t>
  </si>
  <si>
    <t>2025-04-19</t>
  </si>
  <si>
    <t>2025-05-10</t>
  </si>
  <si>
    <t>2025-06-23</t>
  </si>
  <si>
    <t>2025-08-11</t>
  </si>
  <si>
    <t>I Wayan Buana (Ketapang, Ketapang) — Subak Ketapang, Munduk Ketapang Batch 1 (cycle 3)</t>
  </si>
  <si>
    <t>I Ketut Buda (Ketapang, Ketapang) — Subak Ketapang, Munduk Ketapang Batch 1 (cycle 3)</t>
  </si>
  <si>
    <t>I Made Suardika (Ketapang, Ketapang) — Subak Ketapang, Munduk Ketapang Batch 1 (cycle 3)</t>
  </si>
  <si>
    <t>LOG EXCLUSION (8 BARIS DIBUANG) — KRITERIA TRANSPARAN &amp; BERBASIS KODE</t>
  </si>
  <si>
    <t>J (Ekor Bebek)</t>
  </si>
  <si>
    <t>d_are (Ekor/Are)</t>
  </si>
  <si>
    <t>d_ha (Ekor/Ha)</t>
  </si>
  <si>
    <t>Estimatasi Kualitatif U_bebek (Umur Masuk, hari)</t>
  </si>
  <si>
    <t>Duck Sale Revenue (Rp) [Revenue_duck]</t>
  </si>
  <si>
    <t>Total Profit — Raw Farmer P&amp;L (Rp, REFERENSI SAJA, termasuk Weeding/Pesticide/Infra/Fertilizer)</t>
  </si>
  <si>
    <t>Alasan Exclusion (Hasil Klasifikasi Kode)</t>
  </si>
  <si>
    <t>Subak Uma Lambing Munduk Lambing Batch 2 (cycle 1)</t>
  </si>
  <si>
    <t>I Gusti Ngurah Wirasuta</t>
  </si>
  <si>
    <t>Used Impari rice, and get pest out break explains lower yield. Service harvest paid by AW 1000/kg Gabah. Use duck (borrow ducks) | use 4  kg seeds</t>
  </si>
  <si>
    <t>Catatan lapangan eksplisit menyebut bebek pinjaman</t>
  </si>
  <si>
    <t>use 1,5 kg seeds, not buy seeds</t>
  </si>
  <si>
    <t>Siklus tanpa bebek (J&lt;=0 atau data bebek kosong)</t>
  </si>
  <si>
    <t>Ni Nyoman Suwerti</t>
  </si>
  <si>
    <t>not sell the duck, prefer to selll egg | use 2  kg seeds | She used 1.2 liter of natural pesticide
She got Pucuk Putih attack on the early stage after planting | Not plant the border plant yet | it before from pacah plant area</t>
  </si>
  <si>
    <t>Catatan lapangan eksplisit menyebut serangan hama/wabah</t>
  </si>
  <si>
    <t>Subak Saradan  Munduk Sepit Kajanan Batch 1 (cycle 1)</t>
  </si>
  <si>
    <t>I Ketut Mertiyasa</t>
  </si>
  <si>
    <t>Saradan</t>
  </si>
  <si>
    <t>Sepit Dajanan</t>
  </si>
  <si>
    <t>Beras merah</t>
  </si>
  <si>
    <t>10 duck added on 1.7 are land, but only 7 left | use 2.5 kg seeds | He got attack by Hama Beluk on vegetative phase and Walang Sangit pest when generative phase start
Natural pesticide made from fermented soursop leaf, papaya leaf, garlic, Lengkuas, aloevera, tobacco.  Three times application, in total  spent 4 litres natural pesticide</t>
  </si>
  <si>
    <t>I Gusti Ngurah Putu Suka Nada 
(Data collection, level 7)</t>
  </si>
  <si>
    <t>Luasan mikro ekstrem (A_are &lt; 2.5 are)</t>
  </si>
  <si>
    <t>SUL Munduk Lambing Batch 4 (cycle 2)</t>
  </si>
  <si>
    <t>Demplot Grounded (Data collection, level 8)</t>
  </si>
  <si>
    <t>Luasan mikro ekstrem (A_are &lt; 2.5 are); Lahan eksperimental/demplot (bukan siklus petani reguler)</t>
  </si>
  <si>
    <t>I Ketut Darmawan  (Data collection, level 4)</t>
  </si>
  <si>
    <t>Subak Pedahanan, Munduk Pedahanan Grup 1  Batch 1 (cycle 2)</t>
  </si>
  <si>
    <t>I Wayan Sari Merta</t>
  </si>
  <si>
    <t>Tabela (Jarwo 2:1)</t>
  </si>
  <si>
    <t>He use the duck for ceremony</t>
  </si>
  <si>
    <t>Bebek dipakai untuk keperluan upacara adat (ceremony), bukan beroperasi agroekologis di seluruh petak. Sumber mentah sendiri mengoreksi formula densitas pada baris ini menjadi J/2 are (bukan J/H are seperti baris lain yang semuanya J/H), mengindikasikan luas program tercatat (17,19 are) tidak merepresentasikan luas kerja bebek riil. Karena kolom Actual Yield (kg/are) &amp; Revenue tetap dihitung atas basis 17,19 are penuh, baris ini tidak bisa direkonsiliasi secara konsisten untuk uji densitas bebek tanpa mendistorsi Revenue/Cost; dikeluarkan agar konsisten dengan siklus lain.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</si>
</sst>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rial"/>
      <charset val="1"/>
    </font>
    <font>
      <b/>
      <sz val="16"/>
      <color rgb="FF1F4E78"/>
      <name val="Calibri"/>
      <charset val="1"/>
    </font>
    <font>
      <sz val="11"/>
      <color theme="1"/>
      <name val="Calibri"/>
      <charset val="1"/>
    </font>
    <font>
      <b/>
      <sz val="11"/>
      <color rgb="FFFFFFFF"/>
      <name val="Calibri"/>
      <charset val="1"/>
    </font>
    <font>
      <sz val="11"/>
      <color rgb="FF000000"/>
      <name val="Calibri"/>
      <charset val="1"/>
    </font>
    <font>
      <b/>
      <sz val="11"/>
      <color rgb="FF000000"/>
      <name val="Calibri"/>
      <charset val="1"/>
    </font>
    <font>
      <sz val="11"/>
      <color rgb="FF3F3F3F"/>
      <name val="Calibri"/>
      <charset val="1"/>
    </font>
    <font>
      <b/>
      <sz val="11"/>
      <color rgb="FFFFFFFF"/>
      <name val="Calibri"/>
      <family val="2"/>
    </font>
    <font>
      <sz val="11"/>
      <color theme="1"/>
      <name val="Arial"/>
      <family val="2"/>
    </font>
    <font>
      <sz val="11"/>
      <color rgb="FF000000"/>
      <name val="Calibri"/>
      <family val="2"/>
    </font>
  </fonts>
  <fills count="8">
    <fill>
      <patternFill patternType="none"/>
    </fill>
    <fill>
      <patternFill patternType="gray125"/>
    </fill>
    <fill>
      <patternFill patternType="solid">
        <fgColor rgb="FF1F4E78"/>
        <bgColor rgb="FF003366"/>
      </patternFill>
    </fill>
    <fill>
      <patternFill patternType="solid">
        <fgColor rgb="FFFFF2CC"/>
        <bgColor rgb="FFFCE9D9"/>
      </patternFill>
    </fill>
    <fill>
      <patternFill patternType="solid">
        <fgColor rgb="FF974806"/>
        <bgColor rgb="FF993366"/>
      </patternFill>
    </fill>
    <fill>
      <patternFill patternType="solid">
        <fgColor rgb="FFFCE9D9"/>
        <bgColor rgb="FFFFF2CC"/>
      </patternFill>
    </fill>
    <fill>
      <patternFill patternType="solid">
        <fgColor rgb="FFF2F5F8"/>
        <bgColor rgb="FFFFFFFF"/>
      </patternFill>
    </fill>
    <fill>
      <patternFill patternType="solid">
        <fgColor rgb="FFFBD4B4"/>
        <bgColor rgb="FFFCE9D9"/>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auto="1"/>
      </top>
      <bottom style="thin">
        <color auto="1"/>
      </bottom>
      <diagonal/>
    </border>
    <border>
      <left style="medium">
        <color auto="1"/>
      </left>
      <right/>
      <top/>
      <bottom/>
      <diagonal/>
    </border>
  </borders>
  <cellStyleXfs count="1">
    <xf numFmtId="0" fontId="0" fillId="0" borderId="0"/>
  </cellStyleXfs>
  <cellXfs count="42">
    <xf numFmtId="0" fontId="0" fillId="0" borderId="0" xfId="0"/>
    <xf numFmtId="0" fontId="6" fillId="3" borderId="0" xfId="0" applyFont="1" applyFill="1" applyBorder="1" applyAlignment="1">
      <alignment vertical="center" wrapText="1"/>
    </xf>
    <xf numFmtId="0" fontId="1" fillId="0" borderId="0" xfId="0" applyFont="1" applyAlignment="1">
      <alignment vertical="center"/>
    </xf>
    <xf numFmtId="0" fontId="2" fillId="0" borderId="0" xfId="0" applyFont="1" applyAlignment="1">
      <alignment vertical="center"/>
    </xf>
    <xf numFmtId="0" fontId="3" fillId="2" borderId="0" xfId="0" applyFont="1" applyFill="1" applyBorder="1" applyAlignment="1">
      <alignment horizontal="center" vertical="center" wrapText="1"/>
    </xf>
    <xf numFmtId="0" fontId="2" fillId="0" borderId="0" xfId="0" applyFont="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0" xfId="0" applyFont="1" applyAlignment="1">
      <alignment vertical="center" wrapText="1"/>
    </xf>
    <xf numFmtId="0" fontId="1" fillId="0" borderId="0" xfId="0" applyFont="1"/>
    <xf numFmtId="0" fontId="2" fillId="0" borderId="0" xfId="0" applyFont="1"/>
    <xf numFmtId="0" fontId="3" fillId="2"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4" fillId="0" borderId="2" xfId="0" applyFont="1" applyBorder="1" applyAlignment="1">
      <alignment vertical="center" wrapText="1"/>
    </xf>
    <xf numFmtId="4" fontId="4" fillId="0" borderId="2" xfId="0" applyNumberFormat="1" applyFont="1" applyBorder="1" applyAlignment="1">
      <alignment horizontal="right" vertical="center" wrapText="1"/>
    </xf>
    <xf numFmtId="0" fontId="4" fillId="0" borderId="2" xfId="0" applyFont="1" applyBorder="1" applyAlignment="1">
      <alignment horizontal="right" vertical="center" wrapText="1"/>
    </xf>
    <xf numFmtId="4" fontId="4" fillId="0" borderId="2" xfId="0" applyNumberFormat="1" applyFont="1" applyBorder="1" applyAlignment="1">
      <alignment vertical="center" wrapText="1"/>
    </xf>
    <xf numFmtId="4" fontId="4" fillId="5" borderId="2" xfId="0" applyNumberFormat="1" applyFont="1" applyFill="1" applyBorder="1" applyAlignment="1">
      <alignment horizontal="right" vertical="center" wrapText="1"/>
    </xf>
    <xf numFmtId="4" fontId="2" fillId="5" borderId="2" xfId="0" applyNumberFormat="1" applyFont="1" applyFill="1" applyBorder="1" applyAlignment="1">
      <alignment horizontal="right" vertical="center" wrapText="1"/>
    </xf>
    <xf numFmtId="0" fontId="2" fillId="0" borderId="0" xfId="0" applyFont="1" applyAlignment="1">
      <alignment wrapText="1"/>
    </xf>
    <xf numFmtId="3" fontId="0" fillId="0" borderId="0" xfId="0" applyNumberFormat="1" applyFont="1"/>
    <xf numFmtId="0" fontId="3" fillId="4" borderId="0"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4" fillId="7" borderId="1" xfId="0" applyFont="1" applyFill="1" applyBorder="1" applyAlignment="1">
      <alignment vertical="center" wrapText="1"/>
    </xf>
    <xf numFmtId="4" fontId="4" fillId="7" borderId="1" xfId="0" applyNumberFormat="1" applyFont="1" applyFill="1" applyBorder="1" applyAlignment="1">
      <alignment vertical="center" wrapText="1"/>
    </xf>
    <xf numFmtId="4" fontId="2" fillId="7" borderId="0" xfId="0" applyNumberFormat="1" applyFont="1" applyFill="1" applyBorder="1" applyAlignment="1">
      <alignment vertical="center" wrapText="1"/>
    </xf>
    <xf numFmtId="0" fontId="2" fillId="7" borderId="0" xfId="0" applyFont="1" applyFill="1" applyBorder="1" applyAlignment="1">
      <alignment vertical="center" wrapText="1"/>
    </xf>
    <xf numFmtId="4" fontId="2" fillId="7" borderId="3" xfId="0" applyNumberFormat="1" applyFont="1" applyFill="1" applyBorder="1" applyAlignment="1">
      <alignment vertical="center" wrapText="1"/>
    </xf>
    <xf numFmtId="0" fontId="2" fillId="7" borderId="3" xfId="0" applyFont="1" applyFill="1" applyBorder="1" applyAlignment="1">
      <alignment vertical="center" wrapText="1"/>
    </xf>
    <xf numFmtId="0" fontId="7" fillId="2" borderId="2"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0" fontId="7" fillId="4" borderId="2" xfId="0" applyFont="1" applyFill="1" applyBorder="1" applyAlignment="1">
      <alignment horizontal="center" vertical="center" wrapText="1"/>
    </xf>
    <xf numFmtId="0" fontId="8" fillId="0" borderId="0" xfId="0" applyFont="1" applyAlignment="1">
      <alignment wrapText="1"/>
    </xf>
    <xf numFmtId="3" fontId="9" fillId="6" borderId="2" xfId="0" applyNumberFormat="1" applyFont="1" applyFill="1" applyBorder="1" applyAlignment="1">
      <alignment horizontal="center" vertical="center" wrapText="1"/>
    </xf>
    <xf numFmtId="0" fontId="9" fillId="6" borderId="2" xfId="0" applyFont="1" applyFill="1" applyBorder="1" applyAlignment="1">
      <alignment horizontal="left" vertical="center" wrapText="1"/>
    </xf>
    <xf numFmtId="4" fontId="9" fillId="6" borderId="2" xfId="0" applyNumberFormat="1" applyFont="1" applyFill="1" applyBorder="1" applyAlignment="1">
      <alignment horizontal="left" vertical="center" wrapText="1"/>
    </xf>
    <xf numFmtId="3" fontId="9" fillId="6" borderId="2" xfId="0" applyNumberFormat="1" applyFont="1" applyFill="1" applyBorder="1" applyAlignment="1">
      <alignment horizontal="left" vertical="center" wrapText="1"/>
    </xf>
    <xf numFmtId="4" fontId="9" fillId="5" borderId="2" xfId="0" applyNumberFormat="1" applyFont="1" applyFill="1" applyBorder="1" applyAlignment="1">
      <alignment horizontal="left" vertical="center" wrapText="1"/>
    </xf>
    <xf numFmtId="3" fontId="9" fillId="0" borderId="2" xfId="0" applyNumberFormat="1" applyFont="1" applyBorder="1" applyAlignment="1">
      <alignment horizontal="center" vertical="center" wrapText="1"/>
    </xf>
    <xf numFmtId="0" fontId="9" fillId="0" borderId="2" xfId="0" applyFont="1" applyBorder="1" applyAlignment="1">
      <alignment horizontal="left" vertical="center" wrapText="1"/>
    </xf>
    <xf numFmtId="4" fontId="9" fillId="0" borderId="2" xfId="0" applyNumberFormat="1" applyFont="1" applyBorder="1" applyAlignment="1">
      <alignment horizontal="left" vertical="center" wrapText="1"/>
    </xf>
    <xf numFmtId="3" fontId="9" fillId="0" borderId="2" xfId="0" applyNumberFormat="1"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5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CE9D9"/>
      <rgbColor rgb="FF99CCFF"/>
      <rgbColor rgb="FFFF99CC"/>
      <rgbColor rgb="FFCC99FF"/>
      <rgbColor rgb="FFFBD4B4"/>
      <rgbColor rgb="FF3366FF"/>
      <rgbColor rgb="FF33CCCC"/>
      <rgbColor rgb="FF99CC00"/>
      <rgbColor rgb="FFFFCC00"/>
      <rgbColor rgb="FFFF9900"/>
      <rgbColor rgb="FFFF6600"/>
      <rgbColor rgb="FF666699"/>
      <rgbColor rgb="FF969696"/>
      <rgbColor rgb="FF003366"/>
      <rgbColor rgb="FF339966"/>
      <rgbColor rgb="FF003300"/>
      <rgbColor rgb="FF333300"/>
      <rgbColor rgb="FF974806"/>
      <rgbColor rgb="FF993366"/>
      <rgbColor rgb="FF1F4E78"/>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Normal="100" workbookViewId="0"/>
  </sheetViews>
  <sheetFormatPr defaultColWidth="12.59765625" defaultRowHeight="13.8" x14ac:dyDescent="0.25"/>
  <cols>
    <col min="1" max="1" width="48.09765625" customWidth="1"/>
    <col min="2" max="2" width="13.09765625" customWidth="1"/>
    <col min="3" max="3" width="10.5" customWidth="1"/>
    <col min="4" max="4" width="48.09765625" customWidth="1"/>
    <col min="5" max="6" width="7.796875" customWidth="1"/>
    <col min="7" max="24" width="7.59765625" customWidth="1"/>
  </cols>
  <sheetData>
    <row r="1" spans="1:26" ht="21" customHeight="1" x14ac:dyDescent="0.25">
      <c r="A1" s="2" t="s">
        <v>0</v>
      </c>
      <c r="B1" s="3"/>
      <c r="C1" s="3"/>
      <c r="D1" s="3"/>
      <c r="E1" s="3"/>
      <c r="F1" s="3"/>
      <c r="G1" s="3"/>
      <c r="H1" s="3"/>
      <c r="I1" s="3"/>
      <c r="J1" s="3"/>
      <c r="K1" s="3"/>
      <c r="L1" s="3"/>
      <c r="M1" s="3"/>
      <c r="N1" s="3"/>
      <c r="O1" s="3"/>
      <c r="P1" s="3"/>
      <c r="Q1" s="3"/>
      <c r="R1" s="3"/>
      <c r="S1" s="3"/>
      <c r="T1" s="3"/>
      <c r="U1" s="3"/>
      <c r="V1" s="3"/>
      <c r="W1" s="3"/>
      <c r="X1" s="3"/>
      <c r="Y1" s="3"/>
      <c r="Z1" s="3"/>
    </row>
    <row r="2" spans="1:26" ht="14.25" customHeight="1" x14ac:dyDescent="0.25">
      <c r="A2" s="3"/>
      <c r="B2" s="3"/>
      <c r="C2" s="3"/>
      <c r="D2" s="3"/>
      <c r="E2" s="3"/>
      <c r="F2" s="3"/>
      <c r="G2" s="3"/>
      <c r="H2" s="3"/>
      <c r="I2" s="3"/>
      <c r="J2" s="3"/>
      <c r="K2" s="3"/>
      <c r="L2" s="3"/>
      <c r="M2" s="3"/>
      <c r="N2" s="3"/>
      <c r="O2" s="3"/>
      <c r="P2" s="3"/>
      <c r="Q2" s="3"/>
      <c r="R2" s="3"/>
      <c r="S2" s="3"/>
      <c r="T2" s="3"/>
      <c r="U2" s="3"/>
      <c r="V2" s="3"/>
      <c r="W2" s="3"/>
      <c r="X2" s="3"/>
      <c r="Y2" s="3"/>
      <c r="Z2" s="3"/>
    </row>
    <row r="3" spans="1:26" ht="14.25" customHeight="1" x14ac:dyDescent="0.25">
      <c r="A3" s="4" t="s">
        <v>1</v>
      </c>
      <c r="B3" s="4" t="s">
        <v>2</v>
      </c>
      <c r="C3" s="4" t="s">
        <v>3</v>
      </c>
      <c r="D3" s="4" t="s">
        <v>4</v>
      </c>
      <c r="E3" s="5"/>
      <c r="F3" s="5"/>
      <c r="G3" s="5"/>
      <c r="H3" s="5"/>
      <c r="I3" s="5"/>
      <c r="J3" s="5"/>
      <c r="K3" s="5"/>
      <c r="L3" s="5"/>
      <c r="M3" s="5"/>
      <c r="N3" s="5"/>
      <c r="O3" s="5"/>
      <c r="P3" s="5"/>
      <c r="Q3" s="5"/>
      <c r="R3" s="5"/>
      <c r="S3" s="5"/>
      <c r="T3" s="5"/>
      <c r="U3" s="5"/>
      <c r="V3" s="5"/>
      <c r="W3" s="5"/>
      <c r="X3" s="5"/>
      <c r="Y3" s="5"/>
      <c r="Z3" s="5"/>
    </row>
    <row r="4" spans="1:26" ht="28.5" customHeight="1" x14ac:dyDescent="0.25">
      <c r="A4" s="6" t="s">
        <v>5</v>
      </c>
      <c r="B4" s="7">
        <v>36</v>
      </c>
      <c r="C4" s="6" t="s">
        <v>6</v>
      </c>
      <c r="D4" s="6" t="s">
        <v>7</v>
      </c>
      <c r="E4" s="5"/>
      <c r="F4" s="5"/>
      <c r="G4" s="5"/>
      <c r="H4" s="5"/>
      <c r="I4" s="5"/>
      <c r="J4" s="5"/>
      <c r="K4" s="5"/>
      <c r="L4" s="5"/>
      <c r="M4" s="5"/>
      <c r="N4" s="5"/>
      <c r="O4" s="5"/>
      <c r="P4" s="5"/>
      <c r="Q4" s="5"/>
      <c r="R4" s="5"/>
      <c r="S4" s="5"/>
      <c r="T4" s="5"/>
      <c r="U4" s="5"/>
      <c r="V4" s="5"/>
      <c r="W4" s="5"/>
      <c r="X4" s="5"/>
      <c r="Y4" s="5"/>
      <c r="Z4" s="5"/>
    </row>
    <row r="5" spans="1:26" ht="28.5" customHeight="1" x14ac:dyDescent="0.25">
      <c r="A5" s="6" t="s">
        <v>8</v>
      </c>
      <c r="B5" s="7">
        <v>8</v>
      </c>
      <c r="C5" s="6" t="s">
        <v>9</v>
      </c>
      <c r="D5" s="6" t="s">
        <v>10</v>
      </c>
      <c r="E5" s="5"/>
      <c r="F5" s="5"/>
      <c r="G5" s="5"/>
      <c r="H5" s="5"/>
      <c r="I5" s="5"/>
      <c r="J5" s="5"/>
      <c r="K5" s="5"/>
      <c r="L5" s="5"/>
      <c r="M5" s="5"/>
      <c r="N5" s="5"/>
      <c r="O5" s="5"/>
      <c r="P5" s="5"/>
      <c r="Q5" s="5"/>
      <c r="R5" s="5"/>
      <c r="S5" s="5"/>
      <c r="T5" s="5"/>
      <c r="U5" s="5"/>
      <c r="V5" s="5"/>
      <c r="W5" s="5"/>
      <c r="X5" s="5"/>
      <c r="Y5" s="5"/>
      <c r="Z5" s="5"/>
    </row>
    <row r="6" spans="1:26" ht="14.25" customHeight="1" x14ac:dyDescent="0.25">
      <c r="A6" s="5"/>
      <c r="B6" s="5"/>
      <c r="C6" s="5"/>
      <c r="D6" s="5"/>
      <c r="E6" s="5"/>
      <c r="F6" s="5"/>
      <c r="G6" s="5"/>
      <c r="H6" s="5"/>
      <c r="I6" s="5"/>
      <c r="J6" s="5"/>
      <c r="K6" s="5"/>
      <c r="L6" s="5"/>
      <c r="M6" s="5"/>
      <c r="N6" s="5"/>
      <c r="O6" s="5"/>
      <c r="P6" s="5"/>
      <c r="Q6" s="5"/>
      <c r="R6" s="5"/>
      <c r="S6" s="5"/>
      <c r="T6" s="5"/>
      <c r="U6" s="5"/>
      <c r="V6" s="5"/>
      <c r="W6" s="5"/>
      <c r="X6" s="5"/>
      <c r="Y6" s="5"/>
      <c r="Z6" s="5"/>
    </row>
    <row r="7" spans="1:26" ht="14.25" customHeight="1" x14ac:dyDescent="0.25">
      <c r="A7" s="8" t="s">
        <v>11</v>
      </c>
      <c r="B7" s="5"/>
      <c r="C7" s="5"/>
      <c r="D7" s="5"/>
      <c r="E7" s="5"/>
      <c r="F7" s="5"/>
      <c r="G7" s="5"/>
      <c r="H7" s="5"/>
      <c r="I7" s="5"/>
      <c r="J7" s="5"/>
      <c r="K7" s="5"/>
      <c r="L7" s="5"/>
      <c r="M7" s="5"/>
      <c r="N7" s="5"/>
      <c r="O7" s="5"/>
      <c r="P7" s="5"/>
      <c r="Q7" s="5"/>
      <c r="R7" s="5"/>
      <c r="S7" s="5"/>
      <c r="T7" s="5"/>
      <c r="U7" s="5"/>
      <c r="V7" s="5"/>
      <c r="W7" s="5"/>
      <c r="X7" s="5"/>
      <c r="Y7" s="5"/>
      <c r="Z7" s="5"/>
    </row>
    <row r="8" spans="1:26" ht="45" customHeight="1" x14ac:dyDescent="0.25">
      <c r="A8" s="1" t="s">
        <v>12</v>
      </c>
      <c r="B8" s="1"/>
      <c r="C8" s="1"/>
      <c r="D8" s="1"/>
      <c r="E8" s="5"/>
      <c r="F8" s="5"/>
      <c r="G8" s="5"/>
      <c r="H8" s="5"/>
      <c r="I8" s="5"/>
      <c r="J8" s="5"/>
      <c r="K8" s="5"/>
      <c r="L8" s="5"/>
      <c r="M8" s="5"/>
      <c r="N8" s="5"/>
      <c r="O8" s="5"/>
      <c r="P8" s="5"/>
      <c r="Q8" s="5"/>
      <c r="R8" s="5"/>
      <c r="S8" s="5"/>
      <c r="T8" s="5"/>
      <c r="U8" s="5"/>
      <c r="V8" s="5"/>
      <c r="W8" s="5"/>
      <c r="X8" s="5"/>
      <c r="Y8" s="5"/>
      <c r="Z8" s="5"/>
    </row>
    <row r="9" spans="1:26" ht="45" customHeight="1" x14ac:dyDescent="0.25">
      <c r="A9" s="1" t="s">
        <v>13</v>
      </c>
      <c r="B9" s="1"/>
      <c r="C9" s="1"/>
      <c r="D9" s="1"/>
      <c r="E9" s="5"/>
      <c r="F9" s="5"/>
      <c r="G9" s="5"/>
      <c r="H9" s="5"/>
      <c r="I9" s="5"/>
      <c r="J9" s="5"/>
      <c r="K9" s="5"/>
      <c r="L9" s="5"/>
      <c r="M9" s="5"/>
      <c r="N9" s="5"/>
      <c r="O9" s="5"/>
      <c r="P9" s="5"/>
      <c r="Q9" s="5"/>
      <c r="R9" s="5"/>
      <c r="S9" s="5"/>
      <c r="T9" s="5"/>
      <c r="U9" s="5"/>
      <c r="V9" s="5"/>
      <c r="W9" s="5"/>
      <c r="X9" s="5"/>
      <c r="Y9" s="5"/>
      <c r="Z9" s="5"/>
    </row>
    <row r="10" spans="1:26" ht="14.25" customHeight="1"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4.25" customHeight="1" x14ac:dyDescent="0.2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4.25" customHeight="1" x14ac:dyDescent="0.2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4.25" customHeight="1" x14ac:dyDescent="0.2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4.25" customHeight="1"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4.25" customHeight="1" x14ac:dyDescent="0.2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4.25" customHeight="1"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4.25" customHeight="1"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4.25" customHeight="1"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4.25" customHeight="1"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25" customHeight="1"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4.2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4.2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4.2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4.2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4.2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4.2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4.2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4.2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4.2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4.2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4.2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4.2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4.2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4.2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4.2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4.2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4.2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4.2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4.2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4.2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4.2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4.2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4.2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4.2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4.2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4.2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4.2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4.2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4.2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4.2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4.2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4.2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4.2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4.2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4.2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4.2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4.2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4.2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4.2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4.2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4.2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4.2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4.2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4.2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4.2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4.2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4.2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4.2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4.2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4.2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4.2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4.2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4.2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4.2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4.2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4.2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4.2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4.2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4.2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4.2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4.2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2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4.2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4.2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4.2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4.2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4.2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4.2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4.2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4.2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4.2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4.2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4.2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4.2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4.2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4.2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4.2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2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4.2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2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2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2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2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5" customHeight="1" x14ac:dyDescent="0.25"/>
    <row r="222" spans="1:26" ht="13.5" customHeight="1" x14ac:dyDescent="0.25"/>
    <row r="223" spans="1:26" ht="13.5" customHeight="1" x14ac:dyDescent="0.25"/>
    <row r="224" spans="1:26"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mergeCells count="2">
    <mergeCell ref="A8:D8"/>
    <mergeCell ref="A9:D9"/>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00"/>
  <sheetViews>
    <sheetView tabSelected="1" topLeftCell="J1" zoomScaleNormal="100" workbookViewId="0">
      <selection activeCell="N19" sqref="N19"/>
    </sheetView>
  </sheetViews>
  <sheetFormatPr defaultColWidth="12.59765625" defaultRowHeight="13.8" x14ac:dyDescent="0.25"/>
  <cols>
    <col min="1" max="1" width="17" customWidth="1"/>
    <col min="2" max="2" width="50.19921875" customWidth="1"/>
    <col min="3" max="3" width="27.8984375" customWidth="1"/>
    <col min="4" max="4" width="14.59765625" customWidth="1"/>
    <col min="5" max="5" width="10.69921875" customWidth="1"/>
    <col min="6" max="6" width="9.59765625" customWidth="1"/>
    <col min="7" max="7" width="16" customWidth="1"/>
    <col min="8" max="8" width="19" customWidth="1"/>
    <col min="9" max="9" width="18.3984375" customWidth="1"/>
    <col min="10" max="10" width="18.09765625" customWidth="1"/>
    <col min="11" max="11" width="16.5" customWidth="1"/>
    <col min="12" max="12" width="26.5" customWidth="1"/>
    <col min="13" max="13" width="27.5" customWidth="1"/>
    <col min="14" max="15" width="20.59765625" customWidth="1"/>
    <col min="16" max="16" width="18.19921875" customWidth="1"/>
    <col min="17" max="17" width="17.796875" customWidth="1"/>
    <col min="18" max="18" width="23.5" customWidth="1"/>
    <col min="19" max="19" width="22.5" customWidth="1"/>
    <col min="20" max="20" width="14.09765625" customWidth="1"/>
    <col min="21" max="21" width="23" customWidth="1"/>
    <col min="22" max="22" width="28.3984375" customWidth="1"/>
    <col min="23" max="23" width="24.5" customWidth="1"/>
    <col min="24" max="24" width="25.296875" customWidth="1"/>
    <col min="25" max="25" width="20.8984375" customWidth="1"/>
    <col min="26" max="26" width="20.09765625" customWidth="1"/>
    <col min="27" max="27" width="25.69921875" customWidth="1"/>
    <col min="28" max="29" width="21.296875" customWidth="1"/>
    <col min="30" max="30" width="19.3984375" customWidth="1"/>
    <col min="31" max="31" width="31.5" customWidth="1"/>
    <col min="32" max="32" width="45.09765625" customWidth="1"/>
    <col min="33" max="33" width="24" customWidth="1"/>
    <col min="34" max="34" width="29.5" customWidth="1"/>
    <col min="35" max="35" width="35.19921875" customWidth="1"/>
  </cols>
  <sheetData>
    <row r="1" spans="1:35" ht="21" customHeight="1" x14ac:dyDescent="0.4">
      <c r="A1" s="9" t="s">
        <v>14</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row>
    <row r="2" spans="1:35" ht="18" customHeight="1" x14ac:dyDescent="0.4">
      <c r="A2" s="9"/>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row>
    <row r="3" spans="1:35" ht="39.75" customHeight="1" x14ac:dyDescent="0.25">
      <c r="A3" s="11" t="s">
        <v>15</v>
      </c>
      <c r="B3" s="11" t="s">
        <v>16</v>
      </c>
      <c r="C3" s="11" t="s">
        <v>17</v>
      </c>
      <c r="D3" s="11" t="s">
        <v>18</v>
      </c>
      <c r="E3" s="11" t="s">
        <v>19</v>
      </c>
      <c r="F3" s="11" t="s">
        <v>20</v>
      </c>
      <c r="G3" s="11" t="s">
        <v>21</v>
      </c>
      <c r="H3" s="11" t="s">
        <v>22</v>
      </c>
      <c r="I3" s="11" t="s">
        <v>23</v>
      </c>
      <c r="J3" s="11" t="s">
        <v>24</v>
      </c>
      <c r="K3" s="11" t="s">
        <v>25</v>
      </c>
      <c r="L3" s="11" t="s">
        <v>26</v>
      </c>
      <c r="M3" s="11" t="s">
        <v>27</v>
      </c>
      <c r="N3" s="11" t="s">
        <v>28</v>
      </c>
      <c r="O3" s="11" t="s">
        <v>29</v>
      </c>
      <c r="P3" s="11" t="s">
        <v>30</v>
      </c>
      <c r="Q3" s="11" t="s">
        <v>31</v>
      </c>
      <c r="R3" s="11" t="s">
        <v>32</v>
      </c>
      <c r="S3" s="11" t="s">
        <v>33</v>
      </c>
      <c r="T3" s="11" t="s">
        <v>34</v>
      </c>
      <c r="U3" s="11" t="s">
        <v>35</v>
      </c>
      <c r="V3" s="11" t="s">
        <v>36</v>
      </c>
      <c r="W3" s="11" t="s">
        <v>37</v>
      </c>
      <c r="X3" s="11" t="s">
        <v>38</v>
      </c>
      <c r="Y3" s="12" t="s">
        <v>39</v>
      </c>
      <c r="Z3" s="12" t="s">
        <v>40</v>
      </c>
      <c r="AA3" s="12" t="s">
        <v>41</v>
      </c>
      <c r="AB3" s="12" t="s">
        <v>42</v>
      </c>
      <c r="AC3" s="12" t="s">
        <v>43</v>
      </c>
      <c r="AD3" s="12" t="s">
        <v>44</v>
      </c>
      <c r="AE3" s="12" t="s">
        <v>45</v>
      </c>
      <c r="AF3" s="12" t="s">
        <v>46</v>
      </c>
      <c r="AG3" s="12" t="s">
        <v>47</v>
      </c>
      <c r="AH3" s="11" t="s">
        <v>48</v>
      </c>
      <c r="AI3" s="11" t="s">
        <v>49</v>
      </c>
    </row>
    <row r="4" spans="1:35" ht="13.5" customHeight="1" x14ac:dyDescent="0.25">
      <c r="A4" s="13">
        <v>4</v>
      </c>
      <c r="B4" s="13" t="s">
        <v>50</v>
      </c>
      <c r="C4" s="13" t="s">
        <v>51</v>
      </c>
      <c r="D4" s="13" t="s">
        <v>52</v>
      </c>
      <c r="E4" s="13" t="s">
        <v>53</v>
      </c>
      <c r="F4" s="13">
        <v>1</v>
      </c>
      <c r="G4" s="13">
        <v>1</v>
      </c>
      <c r="H4" s="14">
        <v>6.6</v>
      </c>
      <c r="I4" s="14">
        <v>30</v>
      </c>
      <c r="J4" s="14">
        <v>4.5454545454545503</v>
      </c>
      <c r="K4" s="14">
        <v>454.54545454545502</v>
      </c>
      <c r="L4" s="15">
        <v>30</v>
      </c>
      <c r="M4" s="15">
        <v>45</v>
      </c>
      <c r="N4" s="13" t="s">
        <v>54</v>
      </c>
      <c r="O4" s="13" t="s">
        <v>55</v>
      </c>
      <c r="P4" s="14">
        <v>53.030303029999999</v>
      </c>
      <c r="Q4" s="14">
        <v>6000</v>
      </c>
      <c r="R4" s="14">
        <v>2100000</v>
      </c>
      <c r="S4" s="14">
        <v>10000</v>
      </c>
      <c r="T4" s="14">
        <v>0</v>
      </c>
      <c r="U4" s="16">
        <v>0</v>
      </c>
      <c r="V4" s="16">
        <v>2100000</v>
      </c>
      <c r="W4" s="16">
        <v>300000</v>
      </c>
      <c r="X4" s="16">
        <v>1800000</v>
      </c>
      <c r="Y4" s="17">
        <v>0</v>
      </c>
      <c r="Z4" s="17">
        <v>470000</v>
      </c>
      <c r="AA4" s="17">
        <v>0</v>
      </c>
      <c r="AB4" s="18">
        <v>180000</v>
      </c>
      <c r="AC4" s="18">
        <v>0</v>
      </c>
      <c r="AD4" s="18">
        <v>0</v>
      </c>
      <c r="AE4" s="18">
        <v>188010</v>
      </c>
      <c r="AF4" s="17">
        <v>961990</v>
      </c>
      <c r="AG4" s="17">
        <v>1150000</v>
      </c>
      <c r="AH4" s="13"/>
      <c r="AI4" s="13"/>
    </row>
    <row r="5" spans="1:35" ht="13.5" customHeight="1" x14ac:dyDescent="0.25">
      <c r="A5" s="13">
        <v>5</v>
      </c>
      <c r="B5" s="13" t="s">
        <v>50</v>
      </c>
      <c r="C5" s="13" t="s">
        <v>56</v>
      </c>
      <c r="D5" s="13" t="s">
        <v>52</v>
      </c>
      <c r="E5" s="13" t="s">
        <v>53</v>
      </c>
      <c r="F5" s="13">
        <v>1</v>
      </c>
      <c r="G5" s="13">
        <v>1</v>
      </c>
      <c r="H5" s="14">
        <v>10.5</v>
      </c>
      <c r="I5" s="14">
        <v>28</v>
      </c>
      <c r="J5" s="14">
        <v>2.6666666666666701</v>
      </c>
      <c r="K5" s="14">
        <v>266.66666666666703</v>
      </c>
      <c r="L5" s="15">
        <v>30</v>
      </c>
      <c r="M5" s="15">
        <v>45</v>
      </c>
      <c r="N5" s="13" t="s">
        <v>54</v>
      </c>
      <c r="O5" s="13" t="s">
        <v>55</v>
      </c>
      <c r="P5" s="14">
        <v>47.714285709999999</v>
      </c>
      <c r="Q5" s="14">
        <v>6000</v>
      </c>
      <c r="R5" s="14">
        <v>3006000</v>
      </c>
      <c r="S5" s="14">
        <v>25000</v>
      </c>
      <c r="T5" s="14">
        <v>110000</v>
      </c>
      <c r="U5" s="16">
        <v>560000</v>
      </c>
      <c r="V5" s="16">
        <v>3566000</v>
      </c>
      <c r="W5" s="16">
        <v>810000</v>
      </c>
      <c r="X5" s="16">
        <v>2756000</v>
      </c>
      <c r="Y5" s="17">
        <v>0</v>
      </c>
      <c r="Z5" s="17">
        <v>540500</v>
      </c>
      <c r="AA5" s="17">
        <v>0</v>
      </c>
      <c r="AB5" s="18">
        <v>225000</v>
      </c>
      <c r="AC5" s="18">
        <v>0</v>
      </c>
      <c r="AD5" s="18">
        <v>0</v>
      </c>
      <c r="AE5" s="18">
        <v>879950</v>
      </c>
      <c r="AF5" s="17">
        <v>1110550</v>
      </c>
      <c r="AG5" s="17">
        <v>1990500</v>
      </c>
      <c r="AH5" s="13"/>
      <c r="AI5" s="13"/>
    </row>
    <row r="6" spans="1:35" ht="13.5" customHeight="1" x14ac:dyDescent="0.25">
      <c r="A6" s="13">
        <v>6</v>
      </c>
      <c r="B6" s="13" t="s">
        <v>50</v>
      </c>
      <c r="C6" s="13" t="s">
        <v>57</v>
      </c>
      <c r="D6" s="13" t="s">
        <v>52</v>
      </c>
      <c r="E6" s="13" t="s">
        <v>53</v>
      </c>
      <c r="F6" s="13">
        <v>1</v>
      </c>
      <c r="G6" s="13">
        <v>1</v>
      </c>
      <c r="H6" s="14">
        <v>4.8</v>
      </c>
      <c r="I6" s="14">
        <v>10</v>
      </c>
      <c r="J6" s="14">
        <v>2.0833333333333299</v>
      </c>
      <c r="K6" s="14">
        <v>208.333333333333</v>
      </c>
      <c r="L6" s="15">
        <v>30</v>
      </c>
      <c r="M6" s="15">
        <v>45</v>
      </c>
      <c r="N6" s="13" t="s">
        <v>54</v>
      </c>
      <c r="O6" s="13" t="s">
        <v>55</v>
      </c>
      <c r="P6" s="14">
        <v>59.375</v>
      </c>
      <c r="Q6" s="14">
        <v>6000</v>
      </c>
      <c r="R6" s="14">
        <v>1710000</v>
      </c>
      <c r="S6" s="14">
        <v>30000</v>
      </c>
      <c r="T6" s="14">
        <v>0</v>
      </c>
      <c r="U6" s="16">
        <v>0</v>
      </c>
      <c r="V6" s="16">
        <v>1710000</v>
      </c>
      <c r="W6" s="16">
        <v>300000</v>
      </c>
      <c r="X6" s="16">
        <v>1410000</v>
      </c>
      <c r="Y6" s="17">
        <v>0</v>
      </c>
      <c r="Z6" s="17">
        <v>169000</v>
      </c>
      <c r="AA6" s="17">
        <v>0</v>
      </c>
      <c r="AB6" s="18">
        <v>100000</v>
      </c>
      <c r="AC6" s="18">
        <v>0</v>
      </c>
      <c r="AD6" s="18">
        <v>0</v>
      </c>
      <c r="AE6" s="18">
        <v>799950</v>
      </c>
      <c r="AF6" s="17">
        <v>341050</v>
      </c>
      <c r="AG6" s="17">
        <v>1141000</v>
      </c>
      <c r="AH6" s="13"/>
      <c r="AI6" s="13"/>
    </row>
    <row r="7" spans="1:35" ht="13.5" customHeight="1" x14ac:dyDescent="0.25">
      <c r="A7" s="13">
        <v>7</v>
      </c>
      <c r="B7" s="13" t="s">
        <v>50</v>
      </c>
      <c r="C7" s="13" t="s">
        <v>58</v>
      </c>
      <c r="D7" s="13" t="s">
        <v>52</v>
      </c>
      <c r="E7" s="13" t="s">
        <v>53</v>
      </c>
      <c r="F7" s="13">
        <v>1</v>
      </c>
      <c r="G7" s="13">
        <v>1</v>
      </c>
      <c r="H7" s="14">
        <v>4.5</v>
      </c>
      <c r="I7" s="14">
        <v>16</v>
      </c>
      <c r="J7" s="14">
        <v>3.5555555555555598</v>
      </c>
      <c r="K7" s="14">
        <v>355.555555555556</v>
      </c>
      <c r="L7" s="15">
        <v>30</v>
      </c>
      <c r="M7" s="15">
        <v>45</v>
      </c>
      <c r="N7" s="13" t="s">
        <v>54</v>
      </c>
      <c r="O7" s="13" t="s">
        <v>55</v>
      </c>
      <c r="P7" s="14">
        <v>50</v>
      </c>
      <c r="Q7" s="14">
        <v>6000</v>
      </c>
      <c r="R7" s="14">
        <v>1350000</v>
      </c>
      <c r="S7" s="14">
        <v>25000</v>
      </c>
      <c r="T7" s="14">
        <v>100000</v>
      </c>
      <c r="U7" s="16">
        <v>0</v>
      </c>
      <c r="V7" s="16">
        <v>1350000</v>
      </c>
      <c r="W7" s="16">
        <v>500000</v>
      </c>
      <c r="X7" s="16">
        <v>850000</v>
      </c>
      <c r="Y7" s="17">
        <v>0</v>
      </c>
      <c r="Z7" s="17">
        <v>152000</v>
      </c>
      <c r="AA7" s="17">
        <v>0</v>
      </c>
      <c r="AB7" s="18">
        <v>0</v>
      </c>
      <c r="AC7" s="18">
        <v>0</v>
      </c>
      <c r="AD7" s="18">
        <v>0</v>
      </c>
      <c r="AE7" s="18">
        <v>600000</v>
      </c>
      <c r="AF7" s="17">
        <v>98000</v>
      </c>
      <c r="AG7" s="17">
        <v>698000</v>
      </c>
      <c r="AH7" s="13"/>
      <c r="AI7" s="13"/>
    </row>
    <row r="8" spans="1:35" ht="13.5" customHeight="1" x14ac:dyDescent="0.25">
      <c r="A8" s="13">
        <v>8</v>
      </c>
      <c r="B8" s="13" t="s">
        <v>50</v>
      </c>
      <c r="C8" s="13" t="s">
        <v>59</v>
      </c>
      <c r="D8" s="13" t="s">
        <v>52</v>
      </c>
      <c r="E8" s="13" t="s">
        <v>53</v>
      </c>
      <c r="F8" s="13">
        <v>1</v>
      </c>
      <c r="G8" s="13">
        <v>1</v>
      </c>
      <c r="H8" s="14">
        <v>3.6</v>
      </c>
      <c r="I8" s="14">
        <v>13</v>
      </c>
      <c r="J8" s="14">
        <v>3.6111111111111098</v>
      </c>
      <c r="K8" s="14">
        <v>361.11111111111097</v>
      </c>
      <c r="L8" s="15">
        <v>30</v>
      </c>
      <c r="M8" s="15">
        <v>45</v>
      </c>
      <c r="N8" s="13" t="s">
        <v>54</v>
      </c>
      <c r="O8" s="13" t="s">
        <v>55</v>
      </c>
      <c r="P8" s="14">
        <v>45.833333330000002</v>
      </c>
      <c r="Q8" s="14">
        <v>6000</v>
      </c>
      <c r="R8" s="14">
        <v>990000</v>
      </c>
      <c r="S8" s="14">
        <v>25000</v>
      </c>
      <c r="T8" s="14">
        <v>0</v>
      </c>
      <c r="U8" s="16">
        <v>0</v>
      </c>
      <c r="V8" s="16">
        <v>990000</v>
      </c>
      <c r="W8" s="16">
        <v>325000</v>
      </c>
      <c r="X8" s="16">
        <v>665000</v>
      </c>
      <c r="Y8" s="17">
        <v>0</v>
      </c>
      <c r="Z8" s="17">
        <v>202400</v>
      </c>
      <c r="AA8" s="17">
        <v>0</v>
      </c>
      <c r="AB8" s="18">
        <v>0</v>
      </c>
      <c r="AC8" s="18">
        <v>0</v>
      </c>
      <c r="AD8" s="18">
        <v>0</v>
      </c>
      <c r="AE8" s="18">
        <v>450000</v>
      </c>
      <c r="AF8" s="17">
        <v>12600</v>
      </c>
      <c r="AG8" s="17">
        <v>462600</v>
      </c>
      <c r="AH8" s="13"/>
      <c r="AI8" s="13"/>
    </row>
    <row r="9" spans="1:35" ht="13.5" customHeight="1" x14ac:dyDescent="0.25">
      <c r="A9" s="13">
        <v>9</v>
      </c>
      <c r="B9" s="13" t="s">
        <v>50</v>
      </c>
      <c r="C9" s="13" t="s">
        <v>60</v>
      </c>
      <c r="D9" s="13" t="s">
        <v>52</v>
      </c>
      <c r="E9" s="13" t="s">
        <v>53</v>
      </c>
      <c r="F9" s="13">
        <v>1</v>
      </c>
      <c r="G9" s="13">
        <v>1</v>
      </c>
      <c r="H9" s="14">
        <v>5.0999999999999996</v>
      </c>
      <c r="I9" s="14">
        <v>5</v>
      </c>
      <c r="J9" s="14">
        <v>0.98039215686274495</v>
      </c>
      <c r="K9" s="14">
        <v>98.039215686274503</v>
      </c>
      <c r="L9" s="15">
        <v>30</v>
      </c>
      <c r="M9" s="15">
        <v>45</v>
      </c>
      <c r="N9" s="13" t="s">
        <v>54</v>
      </c>
      <c r="O9" s="13" t="s">
        <v>55</v>
      </c>
      <c r="P9" s="14">
        <v>48.039215689999999</v>
      </c>
      <c r="Q9" s="14">
        <v>6000</v>
      </c>
      <c r="R9" s="14">
        <v>1470000</v>
      </c>
      <c r="S9" s="14">
        <v>25000</v>
      </c>
      <c r="T9" s="14">
        <v>20000</v>
      </c>
      <c r="U9" s="16">
        <v>0</v>
      </c>
      <c r="V9" s="16">
        <v>1470000</v>
      </c>
      <c r="W9" s="16">
        <v>145000</v>
      </c>
      <c r="X9" s="16">
        <v>1325000</v>
      </c>
      <c r="Y9" s="17">
        <v>0</v>
      </c>
      <c r="Z9" s="17">
        <v>170400</v>
      </c>
      <c r="AA9" s="17">
        <v>0</v>
      </c>
      <c r="AB9" s="18">
        <v>0</v>
      </c>
      <c r="AC9" s="18">
        <v>0</v>
      </c>
      <c r="AD9" s="18">
        <v>0</v>
      </c>
      <c r="AE9" s="18">
        <v>0</v>
      </c>
      <c r="AF9" s="17">
        <v>1134600</v>
      </c>
      <c r="AG9" s="17">
        <v>1134600</v>
      </c>
      <c r="AH9" s="13" t="s">
        <v>61</v>
      </c>
      <c r="AI9" s="13" t="s">
        <v>62</v>
      </c>
    </row>
    <row r="10" spans="1:35" ht="13.5" customHeight="1" x14ac:dyDescent="0.25">
      <c r="A10" s="13">
        <v>10</v>
      </c>
      <c r="B10" s="13" t="s">
        <v>50</v>
      </c>
      <c r="C10" s="13" t="s">
        <v>63</v>
      </c>
      <c r="D10" s="13" t="s">
        <v>52</v>
      </c>
      <c r="E10" s="13" t="s">
        <v>53</v>
      </c>
      <c r="F10" s="13">
        <v>1</v>
      </c>
      <c r="G10" s="13">
        <v>1</v>
      </c>
      <c r="H10" s="14">
        <v>3.2</v>
      </c>
      <c r="I10" s="14">
        <v>10</v>
      </c>
      <c r="J10" s="14">
        <v>3.125</v>
      </c>
      <c r="K10" s="14">
        <v>312.5</v>
      </c>
      <c r="L10" s="15">
        <v>30</v>
      </c>
      <c r="M10" s="15">
        <v>45</v>
      </c>
      <c r="N10" s="13" t="s">
        <v>54</v>
      </c>
      <c r="O10" s="13" t="s">
        <v>55</v>
      </c>
      <c r="P10" s="14">
        <v>60.3125</v>
      </c>
      <c r="Q10" s="14">
        <v>6000</v>
      </c>
      <c r="R10" s="14">
        <v>1158000</v>
      </c>
      <c r="S10" s="14">
        <v>32000</v>
      </c>
      <c r="T10" s="14">
        <v>20000</v>
      </c>
      <c r="U10" s="16">
        <v>0</v>
      </c>
      <c r="V10" s="16">
        <v>1158000</v>
      </c>
      <c r="W10" s="16">
        <v>340000</v>
      </c>
      <c r="X10" s="16">
        <v>818000</v>
      </c>
      <c r="Y10" s="17">
        <v>0</v>
      </c>
      <c r="Z10" s="17">
        <v>184800</v>
      </c>
      <c r="AA10" s="17">
        <v>0</v>
      </c>
      <c r="AB10" s="18">
        <v>0</v>
      </c>
      <c r="AC10" s="18">
        <v>0</v>
      </c>
      <c r="AD10" s="18">
        <v>0</v>
      </c>
      <c r="AE10" s="18">
        <v>450000</v>
      </c>
      <c r="AF10" s="17">
        <v>183200</v>
      </c>
      <c r="AG10" s="17">
        <v>633200</v>
      </c>
      <c r="AH10" s="13"/>
      <c r="AI10" s="13" t="s">
        <v>64</v>
      </c>
    </row>
    <row r="11" spans="1:35" ht="13.5" customHeight="1" x14ac:dyDescent="0.25">
      <c r="A11" s="13">
        <v>11</v>
      </c>
      <c r="B11" s="13" t="s">
        <v>50</v>
      </c>
      <c r="C11" s="13" t="s">
        <v>65</v>
      </c>
      <c r="D11" s="13" t="s">
        <v>52</v>
      </c>
      <c r="E11" s="13" t="s">
        <v>53</v>
      </c>
      <c r="F11" s="13">
        <v>1</v>
      </c>
      <c r="G11" s="13">
        <v>1</v>
      </c>
      <c r="H11" s="14">
        <v>10</v>
      </c>
      <c r="I11" s="14">
        <v>65</v>
      </c>
      <c r="J11" s="14">
        <v>6.5</v>
      </c>
      <c r="K11" s="14">
        <v>650</v>
      </c>
      <c r="L11" s="15">
        <v>30</v>
      </c>
      <c r="M11" s="15">
        <v>45</v>
      </c>
      <c r="N11" s="13" t="s">
        <v>54</v>
      </c>
      <c r="O11" s="13" t="s">
        <v>55</v>
      </c>
      <c r="P11" s="14">
        <v>60.5</v>
      </c>
      <c r="Q11" s="14">
        <v>6000</v>
      </c>
      <c r="R11" s="14">
        <v>3630000</v>
      </c>
      <c r="S11" s="14">
        <v>7539</v>
      </c>
      <c r="T11" s="14">
        <v>940000</v>
      </c>
      <c r="U11" s="16">
        <v>2400000</v>
      </c>
      <c r="V11" s="16">
        <v>6030000</v>
      </c>
      <c r="W11" s="16">
        <v>1430035</v>
      </c>
      <c r="X11" s="16">
        <v>4599965</v>
      </c>
      <c r="Y11" s="17">
        <v>0</v>
      </c>
      <c r="Z11" s="17">
        <v>755000</v>
      </c>
      <c r="AA11" s="17">
        <v>0</v>
      </c>
      <c r="AB11" s="18">
        <v>0</v>
      </c>
      <c r="AC11" s="18">
        <v>0</v>
      </c>
      <c r="AD11" s="18">
        <v>0</v>
      </c>
      <c r="AE11" s="18">
        <v>400000</v>
      </c>
      <c r="AF11" s="17">
        <v>3124965</v>
      </c>
      <c r="AG11" s="17">
        <v>3524965</v>
      </c>
      <c r="AH11" s="13"/>
      <c r="AI11" s="13" t="s">
        <v>66</v>
      </c>
    </row>
    <row r="12" spans="1:35" ht="13.5" customHeight="1" x14ac:dyDescent="0.25">
      <c r="A12" s="13">
        <v>12</v>
      </c>
      <c r="B12" s="13" t="s">
        <v>50</v>
      </c>
      <c r="C12" s="13" t="s">
        <v>67</v>
      </c>
      <c r="D12" s="13" t="s">
        <v>52</v>
      </c>
      <c r="E12" s="13" t="s">
        <v>53</v>
      </c>
      <c r="F12" s="13">
        <v>1</v>
      </c>
      <c r="G12" s="13">
        <v>1</v>
      </c>
      <c r="H12" s="14">
        <v>5.5</v>
      </c>
      <c r="I12" s="14">
        <v>40</v>
      </c>
      <c r="J12" s="14">
        <v>7.2727272727272698</v>
      </c>
      <c r="K12" s="14">
        <v>727.27272727272702</v>
      </c>
      <c r="L12" s="15">
        <v>30</v>
      </c>
      <c r="M12" s="15">
        <v>45</v>
      </c>
      <c r="N12" s="13" t="s">
        <v>54</v>
      </c>
      <c r="O12" s="13" t="s">
        <v>55</v>
      </c>
      <c r="P12" s="14">
        <v>53.090909089999997</v>
      </c>
      <c r="Q12" s="14">
        <v>6000</v>
      </c>
      <c r="R12" s="14">
        <v>1752000</v>
      </c>
      <c r="S12" s="14">
        <v>8550</v>
      </c>
      <c r="T12" s="14">
        <v>60000</v>
      </c>
      <c r="U12" s="16">
        <v>480000</v>
      </c>
      <c r="V12" s="16">
        <v>2232000</v>
      </c>
      <c r="W12" s="16">
        <v>402000</v>
      </c>
      <c r="X12" s="16">
        <v>1830000</v>
      </c>
      <c r="Y12" s="17">
        <v>0</v>
      </c>
      <c r="Z12" s="17">
        <v>242000</v>
      </c>
      <c r="AA12" s="17">
        <v>0</v>
      </c>
      <c r="AB12" s="18">
        <v>0</v>
      </c>
      <c r="AC12" s="18">
        <v>0</v>
      </c>
      <c r="AD12" s="18">
        <v>0</v>
      </c>
      <c r="AE12" s="18">
        <v>0</v>
      </c>
      <c r="AF12" s="17">
        <v>1588000</v>
      </c>
      <c r="AG12" s="17">
        <v>1588000</v>
      </c>
      <c r="AH12" s="13"/>
      <c r="AI12" s="13" t="s">
        <v>68</v>
      </c>
    </row>
    <row r="13" spans="1:35" ht="13.5" customHeight="1" x14ac:dyDescent="0.25">
      <c r="A13" s="13">
        <v>14</v>
      </c>
      <c r="B13" s="13" t="s">
        <v>69</v>
      </c>
      <c r="C13" s="13" t="s">
        <v>70</v>
      </c>
      <c r="D13" s="13" t="s">
        <v>52</v>
      </c>
      <c r="E13" s="13" t="s">
        <v>71</v>
      </c>
      <c r="F13" s="13">
        <v>2</v>
      </c>
      <c r="G13" s="13">
        <v>1</v>
      </c>
      <c r="H13" s="14">
        <v>7.26</v>
      </c>
      <c r="I13" s="14">
        <v>9</v>
      </c>
      <c r="J13" s="14">
        <v>1.2396694214876001</v>
      </c>
      <c r="K13" s="14">
        <v>123.96694214876</v>
      </c>
      <c r="L13" s="15">
        <v>30</v>
      </c>
      <c r="M13" s="15">
        <v>45</v>
      </c>
      <c r="N13" s="13" t="s">
        <v>72</v>
      </c>
      <c r="O13" s="13" t="s">
        <v>55</v>
      </c>
      <c r="P13" s="14">
        <v>59.366391180000001</v>
      </c>
      <c r="Q13" s="14">
        <v>7500</v>
      </c>
      <c r="R13" s="14">
        <v>3232500</v>
      </c>
      <c r="S13" s="14">
        <v>22222.22222</v>
      </c>
      <c r="T13" s="14">
        <v>100000</v>
      </c>
      <c r="U13" s="16">
        <v>270000</v>
      </c>
      <c r="V13" s="16">
        <v>3502500</v>
      </c>
      <c r="W13" s="16">
        <v>300000</v>
      </c>
      <c r="X13" s="16">
        <v>3202500</v>
      </c>
      <c r="Y13" s="17">
        <v>0</v>
      </c>
      <c r="Z13" s="17">
        <v>249240</v>
      </c>
      <c r="AA13" s="17">
        <v>0</v>
      </c>
      <c r="AB13" s="18">
        <v>120000</v>
      </c>
      <c r="AC13" s="18">
        <v>20000</v>
      </c>
      <c r="AD13" s="18">
        <v>0</v>
      </c>
      <c r="AE13" s="18">
        <v>0</v>
      </c>
      <c r="AF13" s="17">
        <v>2813260</v>
      </c>
      <c r="AG13" s="17">
        <v>2813260</v>
      </c>
      <c r="AH13" s="13"/>
      <c r="AI13" s="13" t="s">
        <v>73</v>
      </c>
    </row>
    <row r="14" spans="1:35" ht="13.5" customHeight="1" x14ac:dyDescent="0.25">
      <c r="A14" s="13">
        <v>18</v>
      </c>
      <c r="B14" s="13" t="s">
        <v>74</v>
      </c>
      <c r="C14" s="13" t="s">
        <v>51</v>
      </c>
      <c r="D14" s="13" t="s">
        <v>52</v>
      </c>
      <c r="E14" s="13" t="s">
        <v>53</v>
      </c>
      <c r="F14" s="13">
        <v>4</v>
      </c>
      <c r="G14" s="13">
        <v>2</v>
      </c>
      <c r="H14" s="14">
        <v>6.6</v>
      </c>
      <c r="I14" s="14">
        <v>30</v>
      </c>
      <c r="J14" s="14">
        <v>4.5454545454545503</v>
      </c>
      <c r="K14" s="14">
        <v>454.54545454545502</v>
      </c>
      <c r="L14" s="15">
        <v>30</v>
      </c>
      <c r="M14" s="15">
        <v>45</v>
      </c>
      <c r="N14" s="13" t="s">
        <v>72</v>
      </c>
      <c r="O14" s="13" t="s">
        <v>75</v>
      </c>
      <c r="P14" s="14">
        <v>63.863636360000001</v>
      </c>
      <c r="Q14" s="14">
        <v>7500</v>
      </c>
      <c r="R14" s="14">
        <v>3161250</v>
      </c>
      <c r="S14" s="14">
        <v>6666.6666670000004</v>
      </c>
      <c r="T14" s="14">
        <v>300000</v>
      </c>
      <c r="U14" s="16">
        <v>0</v>
      </c>
      <c r="V14" s="16">
        <v>3161250</v>
      </c>
      <c r="W14" s="16">
        <v>500000</v>
      </c>
      <c r="X14" s="16">
        <v>2661250</v>
      </c>
      <c r="Y14" s="17">
        <v>0</v>
      </c>
      <c r="Z14" s="17">
        <v>397200</v>
      </c>
      <c r="AA14" s="17">
        <v>0</v>
      </c>
      <c r="AB14" s="18">
        <v>120000</v>
      </c>
      <c r="AC14" s="18">
        <v>10000</v>
      </c>
      <c r="AD14" s="18">
        <v>0</v>
      </c>
      <c r="AE14" s="18">
        <v>935000</v>
      </c>
      <c r="AF14" s="17">
        <v>1199050</v>
      </c>
      <c r="AG14" s="17">
        <v>2134050</v>
      </c>
      <c r="AH14" s="13" t="s">
        <v>76</v>
      </c>
      <c r="AI14" s="13" t="s">
        <v>77</v>
      </c>
    </row>
    <row r="15" spans="1:35" ht="13.5" customHeight="1" x14ac:dyDescent="0.25">
      <c r="A15" s="13">
        <v>19</v>
      </c>
      <c r="B15" s="13" t="s">
        <v>74</v>
      </c>
      <c r="C15" s="13" t="s">
        <v>56</v>
      </c>
      <c r="D15" s="13" t="s">
        <v>52</v>
      </c>
      <c r="E15" s="13" t="s">
        <v>53</v>
      </c>
      <c r="F15" s="13">
        <v>4</v>
      </c>
      <c r="G15" s="13">
        <v>2</v>
      </c>
      <c r="H15" s="14">
        <v>10.5</v>
      </c>
      <c r="I15" s="14">
        <v>28</v>
      </c>
      <c r="J15" s="14">
        <v>2.6666666666666701</v>
      </c>
      <c r="K15" s="14">
        <v>266.66666666666703</v>
      </c>
      <c r="L15" s="15">
        <v>30</v>
      </c>
      <c r="M15" s="15">
        <v>45</v>
      </c>
      <c r="N15" s="13" t="s">
        <v>72</v>
      </c>
      <c r="O15" s="13" t="s">
        <v>75</v>
      </c>
      <c r="P15" s="14">
        <v>45.409523810000003</v>
      </c>
      <c r="Q15" s="14">
        <v>7500</v>
      </c>
      <c r="R15" s="14">
        <v>3576000</v>
      </c>
      <c r="S15" s="14">
        <v>7000</v>
      </c>
      <c r="T15" s="14">
        <v>30600</v>
      </c>
      <c r="U15" s="16">
        <v>676000</v>
      </c>
      <c r="V15" s="16">
        <v>4252000</v>
      </c>
      <c r="W15" s="16">
        <v>226600</v>
      </c>
      <c r="X15" s="16">
        <v>4025400</v>
      </c>
      <c r="Y15" s="17">
        <v>0</v>
      </c>
      <c r="Z15" s="17">
        <v>553500</v>
      </c>
      <c r="AA15" s="17">
        <v>0</v>
      </c>
      <c r="AB15" s="18">
        <v>0</v>
      </c>
      <c r="AC15" s="18">
        <v>0</v>
      </c>
      <c r="AD15" s="18">
        <v>0</v>
      </c>
      <c r="AE15" s="18">
        <v>0</v>
      </c>
      <c r="AF15" s="17">
        <v>3471900</v>
      </c>
      <c r="AG15" s="17">
        <v>3471900</v>
      </c>
      <c r="AH15" s="13"/>
      <c r="AI15" s="13" t="s">
        <v>78</v>
      </c>
    </row>
    <row r="16" spans="1:35" ht="13.5" customHeight="1" x14ac:dyDescent="0.25">
      <c r="A16" s="13">
        <v>20</v>
      </c>
      <c r="B16" s="13" t="s">
        <v>74</v>
      </c>
      <c r="C16" s="13" t="s">
        <v>57</v>
      </c>
      <c r="D16" s="13" t="s">
        <v>52</v>
      </c>
      <c r="E16" s="13" t="s">
        <v>53</v>
      </c>
      <c r="F16" s="13">
        <v>4</v>
      </c>
      <c r="G16" s="13">
        <v>2</v>
      </c>
      <c r="H16" s="14">
        <v>4.8</v>
      </c>
      <c r="I16" s="14">
        <v>8</v>
      </c>
      <c r="J16" s="14">
        <v>1.6666666666666701</v>
      </c>
      <c r="K16" s="14">
        <v>166.666666666667</v>
      </c>
      <c r="L16" s="15">
        <v>30</v>
      </c>
      <c r="M16" s="15">
        <v>45</v>
      </c>
      <c r="N16" s="13" t="s">
        <v>72</v>
      </c>
      <c r="O16" s="13" t="s">
        <v>75</v>
      </c>
      <c r="P16" s="14">
        <v>65.729166669999998</v>
      </c>
      <c r="Q16" s="14">
        <v>7500</v>
      </c>
      <c r="R16" s="14">
        <v>2366250</v>
      </c>
      <c r="S16" s="13"/>
      <c r="T16" s="14">
        <v>200000</v>
      </c>
      <c r="U16" s="16">
        <v>0</v>
      </c>
      <c r="V16" s="16">
        <v>2366250</v>
      </c>
      <c r="W16" s="16">
        <v>200000</v>
      </c>
      <c r="X16" s="16">
        <v>2166250</v>
      </c>
      <c r="Y16" s="17">
        <v>0</v>
      </c>
      <c r="Z16" s="17">
        <v>135200</v>
      </c>
      <c r="AA16" s="17">
        <v>0</v>
      </c>
      <c r="AB16" s="18">
        <v>0</v>
      </c>
      <c r="AC16" s="18">
        <v>0</v>
      </c>
      <c r="AD16" s="18">
        <v>0</v>
      </c>
      <c r="AE16" s="18">
        <v>0</v>
      </c>
      <c r="AF16" s="17">
        <v>2031050</v>
      </c>
      <c r="AG16" s="17">
        <v>2031050</v>
      </c>
      <c r="AH16" s="13"/>
      <c r="AI16" s="13" t="s">
        <v>79</v>
      </c>
    </row>
    <row r="17" spans="1:35" ht="13.5" customHeight="1" x14ac:dyDescent="0.25">
      <c r="A17" s="13">
        <v>21</v>
      </c>
      <c r="B17" s="13" t="s">
        <v>74</v>
      </c>
      <c r="C17" s="13" t="s">
        <v>58</v>
      </c>
      <c r="D17" s="13" t="s">
        <v>52</v>
      </c>
      <c r="E17" s="13" t="s">
        <v>53</v>
      </c>
      <c r="F17" s="13">
        <v>4</v>
      </c>
      <c r="G17" s="13">
        <v>2</v>
      </c>
      <c r="H17" s="14">
        <v>4.5</v>
      </c>
      <c r="I17" s="14">
        <v>10</v>
      </c>
      <c r="J17" s="14">
        <v>2.2222222222222201</v>
      </c>
      <c r="K17" s="14">
        <v>222.222222222222</v>
      </c>
      <c r="L17" s="15">
        <v>30</v>
      </c>
      <c r="M17" s="15">
        <v>45</v>
      </c>
      <c r="N17" s="13" t="s">
        <v>80</v>
      </c>
      <c r="O17" s="13" t="s">
        <v>75</v>
      </c>
      <c r="P17" s="14">
        <v>55.777777780000001</v>
      </c>
      <c r="Q17" s="14">
        <v>7500</v>
      </c>
      <c r="R17" s="14">
        <v>1882500</v>
      </c>
      <c r="S17" s="14">
        <v>15000</v>
      </c>
      <c r="T17" s="14">
        <v>50000</v>
      </c>
      <c r="U17" s="16">
        <v>0</v>
      </c>
      <c r="V17" s="16">
        <v>1882500</v>
      </c>
      <c r="W17" s="16">
        <v>200000</v>
      </c>
      <c r="X17" s="16">
        <v>1682500</v>
      </c>
      <c r="Y17" s="17">
        <v>0</v>
      </c>
      <c r="Z17" s="17">
        <v>196500</v>
      </c>
      <c r="AA17" s="17">
        <v>0</v>
      </c>
      <c r="AB17" s="18">
        <v>40000</v>
      </c>
      <c r="AC17" s="18">
        <v>0</v>
      </c>
      <c r="AD17" s="18">
        <v>0</v>
      </c>
      <c r="AE17" s="18">
        <v>0</v>
      </c>
      <c r="AF17" s="17">
        <v>1446000</v>
      </c>
      <c r="AG17" s="17">
        <v>1446000</v>
      </c>
      <c r="AH17" s="13"/>
      <c r="AI17" s="13" t="s">
        <v>81</v>
      </c>
    </row>
    <row r="18" spans="1:35" ht="13.5" customHeight="1" x14ac:dyDescent="0.25">
      <c r="A18" s="13">
        <v>23</v>
      </c>
      <c r="B18" s="13" t="s">
        <v>74</v>
      </c>
      <c r="C18" s="13" t="s">
        <v>60</v>
      </c>
      <c r="D18" s="13" t="s">
        <v>52</v>
      </c>
      <c r="E18" s="13" t="s">
        <v>53</v>
      </c>
      <c r="F18" s="13">
        <v>4</v>
      </c>
      <c r="G18" s="13">
        <v>2</v>
      </c>
      <c r="H18" s="14">
        <v>5.0999999999999996</v>
      </c>
      <c r="I18" s="14">
        <v>10</v>
      </c>
      <c r="J18" s="14">
        <v>1.9607843137254899</v>
      </c>
      <c r="K18" s="14">
        <v>196.07843137254901</v>
      </c>
      <c r="L18" s="15">
        <v>30</v>
      </c>
      <c r="M18" s="15">
        <v>45</v>
      </c>
      <c r="N18" s="13" t="s">
        <v>82</v>
      </c>
      <c r="O18" s="13" t="s">
        <v>75</v>
      </c>
      <c r="P18" s="14">
        <v>21.019607839999999</v>
      </c>
      <c r="Q18" s="14">
        <v>7500</v>
      </c>
      <c r="R18" s="14">
        <v>804000</v>
      </c>
      <c r="S18" s="14">
        <v>5000</v>
      </c>
      <c r="T18" s="14">
        <v>10000</v>
      </c>
      <c r="U18" s="16">
        <v>0</v>
      </c>
      <c r="V18" s="16">
        <v>804000</v>
      </c>
      <c r="W18" s="16">
        <v>60000</v>
      </c>
      <c r="X18" s="16">
        <v>744000</v>
      </c>
      <c r="Y18" s="17">
        <v>0</v>
      </c>
      <c r="Z18" s="17">
        <v>134400</v>
      </c>
      <c r="AA18" s="17">
        <v>0</v>
      </c>
      <c r="AB18" s="18">
        <v>0</v>
      </c>
      <c r="AC18" s="18">
        <v>0</v>
      </c>
      <c r="AD18" s="18">
        <v>0</v>
      </c>
      <c r="AE18" s="18">
        <v>0</v>
      </c>
      <c r="AF18" s="17">
        <v>609600</v>
      </c>
      <c r="AG18" s="17">
        <v>609600</v>
      </c>
      <c r="AH18" s="13"/>
      <c r="AI18" s="13" t="s">
        <v>83</v>
      </c>
    </row>
    <row r="19" spans="1:35" ht="13.5" customHeight="1" x14ac:dyDescent="0.25">
      <c r="A19" s="13">
        <v>24</v>
      </c>
      <c r="B19" s="13" t="s">
        <v>74</v>
      </c>
      <c r="C19" s="13" t="s">
        <v>63</v>
      </c>
      <c r="D19" s="13" t="s">
        <v>52</v>
      </c>
      <c r="E19" s="13" t="s">
        <v>53</v>
      </c>
      <c r="F19" s="13">
        <v>4</v>
      </c>
      <c r="G19" s="13">
        <v>2</v>
      </c>
      <c r="H19" s="14">
        <v>3.2</v>
      </c>
      <c r="I19" s="14">
        <v>3</v>
      </c>
      <c r="J19" s="14">
        <v>0.9375</v>
      </c>
      <c r="K19" s="14">
        <v>93.75</v>
      </c>
      <c r="L19" s="15">
        <v>30</v>
      </c>
      <c r="M19" s="15">
        <v>45</v>
      </c>
      <c r="N19" s="13" t="s">
        <v>72</v>
      </c>
      <c r="O19" s="13" t="s">
        <v>75</v>
      </c>
      <c r="P19" s="14">
        <v>37.5</v>
      </c>
      <c r="Q19" s="14">
        <v>7500</v>
      </c>
      <c r="R19" s="14">
        <v>900000</v>
      </c>
      <c r="S19" s="13"/>
      <c r="T19" s="14">
        <v>72000</v>
      </c>
      <c r="U19" s="16">
        <v>0</v>
      </c>
      <c r="V19" s="16">
        <v>900000</v>
      </c>
      <c r="W19" s="16">
        <v>72000</v>
      </c>
      <c r="X19" s="16">
        <v>828000</v>
      </c>
      <c r="Y19" s="17">
        <v>0</v>
      </c>
      <c r="Z19" s="17">
        <v>160000</v>
      </c>
      <c r="AA19" s="17">
        <v>0</v>
      </c>
      <c r="AB19" s="18">
        <v>0</v>
      </c>
      <c r="AC19" s="18">
        <v>0</v>
      </c>
      <c r="AD19" s="18">
        <v>0</v>
      </c>
      <c r="AE19" s="18">
        <v>0</v>
      </c>
      <c r="AF19" s="17">
        <v>668000</v>
      </c>
      <c r="AG19" s="17">
        <v>668000</v>
      </c>
      <c r="AH19" s="13" t="s">
        <v>61</v>
      </c>
      <c r="AI19" s="13" t="s">
        <v>84</v>
      </c>
    </row>
    <row r="20" spans="1:35" ht="13.5" customHeight="1" x14ac:dyDescent="0.25">
      <c r="A20" s="13">
        <v>25</v>
      </c>
      <c r="B20" s="13" t="s">
        <v>74</v>
      </c>
      <c r="C20" s="13" t="s">
        <v>65</v>
      </c>
      <c r="D20" s="13" t="s">
        <v>52</v>
      </c>
      <c r="E20" s="13" t="s">
        <v>53</v>
      </c>
      <c r="F20" s="13">
        <v>4</v>
      </c>
      <c r="G20" s="13">
        <v>2</v>
      </c>
      <c r="H20" s="14">
        <v>14.41</v>
      </c>
      <c r="I20" s="14">
        <v>30</v>
      </c>
      <c r="J20" s="14">
        <v>2.0818875780707802</v>
      </c>
      <c r="K20" s="14">
        <v>208.18875780707799</v>
      </c>
      <c r="L20" s="15">
        <v>30</v>
      </c>
      <c r="M20" s="15">
        <v>45</v>
      </c>
      <c r="N20" s="13" t="s">
        <v>72</v>
      </c>
      <c r="O20" s="13" t="s">
        <v>75</v>
      </c>
      <c r="P20" s="14">
        <v>52.42886884</v>
      </c>
      <c r="Q20" s="14">
        <v>7500</v>
      </c>
      <c r="R20" s="14">
        <v>5666250</v>
      </c>
      <c r="S20" s="14">
        <v>10000</v>
      </c>
      <c r="T20" s="14">
        <v>240000</v>
      </c>
      <c r="U20" s="16">
        <v>0</v>
      </c>
      <c r="V20" s="16">
        <v>5666250</v>
      </c>
      <c r="W20" s="16">
        <v>540000</v>
      </c>
      <c r="X20" s="16">
        <v>5126250</v>
      </c>
      <c r="Y20" s="17">
        <v>0</v>
      </c>
      <c r="Z20" s="17">
        <v>360840</v>
      </c>
      <c r="AA20" s="17">
        <v>0</v>
      </c>
      <c r="AB20" s="18">
        <v>100000</v>
      </c>
      <c r="AC20" s="18">
        <v>115000</v>
      </c>
      <c r="AD20" s="18">
        <v>0</v>
      </c>
      <c r="AE20" s="18">
        <v>0</v>
      </c>
      <c r="AF20" s="17">
        <v>4550410</v>
      </c>
      <c r="AG20" s="17">
        <v>4550410</v>
      </c>
      <c r="AH20" s="13"/>
      <c r="AI20" s="13" t="s">
        <v>85</v>
      </c>
    </row>
    <row r="21" spans="1:35" ht="13.5" customHeight="1" x14ac:dyDescent="0.25">
      <c r="A21" s="13">
        <v>26</v>
      </c>
      <c r="B21" s="13" t="s">
        <v>74</v>
      </c>
      <c r="C21" s="13" t="s">
        <v>67</v>
      </c>
      <c r="D21" s="13" t="s">
        <v>52</v>
      </c>
      <c r="E21" s="13" t="s">
        <v>53</v>
      </c>
      <c r="F21" s="13">
        <v>4</v>
      </c>
      <c r="G21" s="13">
        <v>2</v>
      </c>
      <c r="H21" s="14">
        <v>5.5</v>
      </c>
      <c r="I21" s="14">
        <v>50</v>
      </c>
      <c r="J21" s="14">
        <v>9.0909090909090899</v>
      </c>
      <c r="K21" s="14">
        <v>909.09090909090901</v>
      </c>
      <c r="L21" s="15">
        <v>30</v>
      </c>
      <c r="M21" s="15">
        <v>45</v>
      </c>
      <c r="N21" s="13" t="s">
        <v>72</v>
      </c>
      <c r="O21" s="13" t="s">
        <v>75</v>
      </c>
      <c r="P21" s="14">
        <v>53.545454550000002</v>
      </c>
      <c r="Q21" s="14">
        <v>7500</v>
      </c>
      <c r="R21" s="14">
        <v>2208750</v>
      </c>
      <c r="S21" s="14">
        <v>7000</v>
      </c>
      <c r="T21" s="14">
        <v>120000</v>
      </c>
      <c r="U21" s="16">
        <v>720000</v>
      </c>
      <c r="V21" s="16">
        <v>2928750</v>
      </c>
      <c r="W21" s="16">
        <v>470000</v>
      </c>
      <c r="X21" s="16">
        <v>2458750</v>
      </c>
      <c r="Y21" s="17">
        <v>0</v>
      </c>
      <c r="Z21" s="17">
        <v>282000</v>
      </c>
      <c r="AA21" s="17">
        <v>0</v>
      </c>
      <c r="AB21" s="18">
        <v>0</v>
      </c>
      <c r="AC21" s="18">
        <v>0</v>
      </c>
      <c r="AD21" s="18">
        <v>0</v>
      </c>
      <c r="AE21" s="18">
        <v>0</v>
      </c>
      <c r="AF21" s="17">
        <v>2176750</v>
      </c>
      <c r="AG21" s="17">
        <v>2176750</v>
      </c>
      <c r="AH21" s="13" t="s">
        <v>86</v>
      </c>
      <c r="AI21" s="13" t="s">
        <v>87</v>
      </c>
    </row>
    <row r="22" spans="1:35" ht="13.5" customHeight="1" x14ac:dyDescent="0.25">
      <c r="A22" s="13">
        <v>28</v>
      </c>
      <c r="B22" s="13" t="s">
        <v>88</v>
      </c>
      <c r="C22" s="13" t="s">
        <v>89</v>
      </c>
      <c r="D22" s="13" t="s">
        <v>52</v>
      </c>
      <c r="E22" s="13" t="s">
        <v>71</v>
      </c>
      <c r="F22" s="13">
        <v>6</v>
      </c>
      <c r="G22" s="13">
        <v>1</v>
      </c>
      <c r="H22" s="14">
        <v>6.35</v>
      </c>
      <c r="I22" s="14">
        <v>20</v>
      </c>
      <c r="J22" s="14">
        <v>3.1496062992125999</v>
      </c>
      <c r="K22" s="14">
        <v>314.96062992126002</v>
      </c>
      <c r="L22" s="15">
        <v>30</v>
      </c>
      <c r="M22" s="15">
        <v>45</v>
      </c>
      <c r="N22" s="13" t="s">
        <v>72</v>
      </c>
      <c r="O22" s="13" t="s">
        <v>75</v>
      </c>
      <c r="P22" s="14">
        <v>45.826771649999998</v>
      </c>
      <c r="Q22" s="14">
        <v>6000</v>
      </c>
      <c r="R22" s="14">
        <v>1746000</v>
      </c>
      <c r="S22" s="14">
        <v>15000</v>
      </c>
      <c r="T22" s="14">
        <v>200000</v>
      </c>
      <c r="U22" s="16">
        <v>0</v>
      </c>
      <c r="V22" s="16">
        <v>1746000</v>
      </c>
      <c r="W22" s="16">
        <v>500000</v>
      </c>
      <c r="X22" s="16">
        <v>1246000</v>
      </c>
      <c r="Y22" s="17">
        <v>0</v>
      </c>
      <c r="Z22" s="17">
        <v>236250</v>
      </c>
      <c r="AA22" s="17">
        <v>0</v>
      </c>
      <c r="AB22" s="18">
        <v>0</v>
      </c>
      <c r="AC22" s="18">
        <v>5000</v>
      </c>
      <c r="AD22" s="18">
        <v>0</v>
      </c>
      <c r="AE22" s="18">
        <v>0</v>
      </c>
      <c r="AF22" s="17">
        <v>1004750</v>
      </c>
      <c r="AG22" s="17">
        <v>1004750</v>
      </c>
      <c r="AH22" s="13"/>
      <c r="AI22" s="13" t="s">
        <v>90</v>
      </c>
    </row>
    <row r="23" spans="1:35" ht="13.5" customHeight="1" x14ac:dyDescent="0.25">
      <c r="A23" s="13">
        <v>34</v>
      </c>
      <c r="B23" s="13" t="s">
        <v>91</v>
      </c>
      <c r="C23" s="13" t="s">
        <v>67</v>
      </c>
      <c r="D23" s="13" t="s">
        <v>52</v>
      </c>
      <c r="E23" s="13" t="s">
        <v>53</v>
      </c>
      <c r="F23" s="13">
        <v>9</v>
      </c>
      <c r="G23" s="13">
        <v>1</v>
      </c>
      <c r="H23" s="14">
        <v>10.210000000000001</v>
      </c>
      <c r="I23" s="14">
        <v>32</v>
      </c>
      <c r="J23" s="14">
        <v>3.1341821743388798</v>
      </c>
      <c r="K23" s="14">
        <v>313.418217433888</v>
      </c>
      <c r="L23" s="15">
        <v>30</v>
      </c>
      <c r="M23" s="15">
        <v>45</v>
      </c>
      <c r="N23" s="13" t="s">
        <v>72</v>
      </c>
      <c r="O23" s="13" t="s">
        <v>75</v>
      </c>
      <c r="P23" s="14">
        <v>50</v>
      </c>
      <c r="Q23" s="14">
        <v>6300</v>
      </c>
      <c r="R23" s="14">
        <v>3216150</v>
      </c>
      <c r="S23" s="14">
        <v>12000</v>
      </c>
      <c r="T23" s="14">
        <v>256000</v>
      </c>
      <c r="U23" s="16">
        <v>875000</v>
      </c>
      <c r="V23" s="16">
        <v>4091150</v>
      </c>
      <c r="W23" s="16">
        <v>640000</v>
      </c>
      <c r="X23" s="16">
        <v>3451150</v>
      </c>
      <c r="Y23" s="17">
        <v>0</v>
      </c>
      <c r="Z23" s="17">
        <v>485250</v>
      </c>
      <c r="AA23" s="17">
        <v>0</v>
      </c>
      <c r="AB23" s="18">
        <v>0</v>
      </c>
      <c r="AC23" s="18">
        <v>0</v>
      </c>
      <c r="AD23" s="18">
        <v>0</v>
      </c>
      <c r="AE23" s="18">
        <v>0</v>
      </c>
      <c r="AF23" s="17">
        <v>2965900</v>
      </c>
      <c r="AG23" s="17">
        <v>2965900</v>
      </c>
      <c r="AH23" s="13"/>
      <c r="AI23" s="13" t="s">
        <v>92</v>
      </c>
    </row>
    <row r="24" spans="1:35" ht="13.5" customHeight="1" x14ac:dyDescent="0.25">
      <c r="A24" s="13">
        <v>36</v>
      </c>
      <c r="B24" s="13" t="s">
        <v>93</v>
      </c>
      <c r="C24" s="13" t="s">
        <v>51</v>
      </c>
      <c r="D24" s="13" t="s">
        <v>52</v>
      </c>
      <c r="E24" s="13" t="s">
        <v>53</v>
      </c>
      <c r="F24" s="13">
        <v>10</v>
      </c>
      <c r="G24" s="13">
        <v>3</v>
      </c>
      <c r="H24" s="14">
        <v>6.6</v>
      </c>
      <c r="I24" s="14">
        <v>19</v>
      </c>
      <c r="J24" s="14">
        <v>2.8787878787878798</v>
      </c>
      <c r="K24" s="14">
        <v>287.87878787878799</v>
      </c>
      <c r="L24" s="15">
        <v>30</v>
      </c>
      <c r="M24" s="15">
        <v>45</v>
      </c>
      <c r="N24" s="13" t="s">
        <v>80</v>
      </c>
      <c r="O24" s="13" t="s">
        <v>94</v>
      </c>
      <c r="P24" s="14">
        <v>47.196969699999997</v>
      </c>
      <c r="Q24" s="14">
        <v>6300</v>
      </c>
      <c r="R24" s="14">
        <v>1962450</v>
      </c>
      <c r="S24" s="14">
        <v>12000</v>
      </c>
      <c r="T24" s="14">
        <v>25000</v>
      </c>
      <c r="U24" s="16">
        <v>0</v>
      </c>
      <c r="V24" s="16">
        <v>1962450</v>
      </c>
      <c r="W24" s="16">
        <v>253000</v>
      </c>
      <c r="X24" s="16">
        <v>1709450</v>
      </c>
      <c r="Y24" s="17">
        <v>0</v>
      </c>
      <c r="Z24" s="17">
        <v>349200</v>
      </c>
      <c r="AA24" s="17">
        <v>0</v>
      </c>
      <c r="AB24" s="18">
        <v>150000</v>
      </c>
      <c r="AC24" s="18">
        <v>0</v>
      </c>
      <c r="AD24" s="18">
        <v>0</v>
      </c>
      <c r="AE24" s="18">
        <v>0</v>
      </c>
      <c r="AF24" s="17">
        <v>1210250</v>
      </c>
      <c r="AG24" s="17">
        <v>1210250</v>
      </c>
      <c r="AH24" s="13"/>
      <c r="AI24" s="13" t="s">
        <v>95</v>
      </c>
    </row>
    <row r="25" spans="1:35" ht="13.5" customHeight="1" x14ac:dyDescent="0.25">
      <c r="A25" s="13">
        <v>37</v>
      </c>
      <c r="B25" s="13" t="s">
        <v>93</v>
      </c>
      <c r="C25" s="13" t="s">
        <v>57</v>
      </c>
      <c r="D25" s="13" t="s">
        <v>52</v>
      </c>
      <c r="E25" s="13" t="s">
        <v>53</v>
      </c>
      <c r="F25" s="13">
        <v>10</v>
      </c>
      <c r="G25" s="13">
        <v>3</v>
      </c>
      <c r="H25" s="14">
        <v>4.8</v>
      </c>
      <c r="I25" s="14">
        <v>9</v>
      </c>
      <c r="J25" s="14">
        <v>1.875</v>
      </c>
      <c r="K25" s="14">
        <v>187.5</v>
      </c>
      <c r="L25" s="15">
        <v>30</v>
      </c>
      <c r="M25" s="15">
        <v>45</v>
      </c>
      <c r="N25" s="13" t="s">
        <v>96</v>
      </c>
      <c r="O25" s="13" t="s">
        <v>94</v>
      </c>
      <c r="P25" s="14">
        <v>60.416666669999998</v>
      </c>
      <c r="Q25" s="14">
        <v>6300</v>
      </c>
      <c r="R25" s="14">
        <v>1827000</v>
      </c>
      <c r="S25" s="14">
        <v>0</v>
      </c>
      <c r="T25" s="14">
        <v>0</v>
      </c>
      <c r="U25" s="16">
        <v>0</v>
      </c>
      <c r="V25" s="16">
        <v>1827000</v>
      </c>
      <c r="W25" s="16">
        <v>0</v>
      </c>
      <c r="X25" s="16">
        <v>1827000</v>
      </c>
      <c r="Y25" s="17">
        <v>0</v>
      </c>
      <c r="Z25" s="17">
        <v>120000</v>
      </c>
      <c r="AA25" s="17">
        <v>0</v>
      </c>
      <c r="AB25" s="18">
        <v>0</v>
      </c>
      <c r="AC25" s="18">
        <v>0</v>
      </c>
      <c r="AD25" s="18">
        <v>0</v>
      </c>
      <c r="AE25" s="18">
        <v>0</v>
      </c>
      <c r="AF25" s="17">
        <v>1707000</v>
      </c>
      <c r="AG25" s="17">
        <v>1707000</v>
      </c>
      <c r="AH25" s="13"/>
      <c r="AI25" s="13"/>
    </row>
    <row r="26" spans="1:35" ht="13.5" customHeight="1" x14ac:dyDescent="0.25">
      <c r="A26" s="13">
        <v>38</v>
      </c>
      <c r="B26" s="13" t="s">
        <v>93</v>
      </c>
      <c r="C26" s="13" t="s">
        <v>65</v>
      </c>
      <c r="D26" s="13" t="s">
        <v>52</v>
      </c>
      <c r="E26" s="13" t="s">
        <v>53</v>
      </c>
      <c r="F26" s="13">
        <v>10</v>
      </c>
      <c r="G26" s="13">
        <v>3</v>
      </c>
      <c r="H26" s="14">
        <v>10</v>
      </c>
      <c r="I26" s="14">
        <v>32</v>
      </c>
      <c r="J26" s="14">
        <v>3.2</v>
      </c>
      <c r="K26" s="14">
        <v>320</v>
      </c>
      <c r="L26" s="15">
        <v>30</v>
      </c>
      <c r="M26" s="15">
        <v>45</v>
      </c>
      <c r="N26" s="13" t="s">
        <v>72</v>
      </c>
      <c r="O26" s="13" t="s">
        <v>75</v>
      </c>
      <c r="P26" s="14">
        <v>53.4</v>
      </c>
      <c r="Q26" s="14">
        <v>6300</v>
      </c>
      <c r="R26" s="14">
        <v>3364200</v>
      </c>
      <c r="S26" s="14">
        <v>0</v>
      </c>
      <c r="T26" s="14">
        <v>3216250</v>
      </c>
      <c r="U26" s="16">
        <v>3825000</v>
      </c>
      <c r="V26" s="16">
        <v>7189200</v>
      </c>
      <c r="W26" s="16">
        <v>3216250</v>
      </c>
      <c r="X26" s="16">
        <v>3972950</v>
      </c>
      <c r="Y26" s="17">
        <v>0</v>
      </c>
      <c r="Z26" s="17">
        <v>285000</v>
      </c>
      <c r="AA26" s="17">
        <v>0</v>
      </c>
      <c r="AB26" s="18">
        <v>0</v>
      </c>
      <c r="AC26" s="18">
        <v>0</v>
      </c>
      <c r="AD26" s="18">
        <v>0</v>
      </c>
      <c r="AE26" s="18">
        <v>0</v>
      </c>
      <c r="AF26" s="17">
        <v>3687950</v>
      </c>
      <c r="AG26" s="17">
        <v>3687950</v>
      </c>
      <c r="AH26" s="13"/>
      <c r="AI26" s="13" t="s">
        <v>97</v>
      </c>
    </row>
    <row r="27" spans="1:35" ht="13.5" customHeight="1" x14ac:dyDescent="0.25">
      <c r="A27" s="13">
        <v>39</v>
      </c>
      <c r="B27" s="13" t="s">
        <v>93</v>
      </c>
      <c r="C27" s="13" t="s">
        <v>67</v>
      </c>
      <c r="D27" s="13" t="s">
        <v>52</v>
      </c>
      <c r="E27" s="13" t="s">
        <v>53</v>
      </c>
      <c r="F27" s="13">
        <v>10</v>
      </c>
      <c r="G27" s="13">
        <v>3</v>
      </c>
      <c r="H27" s="14">
        <v>5.5</v>
      </c>
      <c r="I27" s="14">
        <v>18</v>
      </c>
      <c r="J27" s="14">
        <v>3.2727272727272698</v>
      </c>
      <c r="K27" s="14">
        <v>327.27272727272702</v>
      </c>
      <c r="L27" s="15">
        <v>30</v>
      </c>
      <c r="M27" s="15">
        <v>45</v>
      </c>
      <c r="N27" s="13" t="s">
        <v>72</v>
      </c>
      <c r="O27" s="13" t="s">
        <v>75</v>
      </c>
      <c r="P27" s="14">
        <v>47</v>
      </c>
      <c r="Q27" s="14">
        <v>6300</v>
      </c>
      <c r="R27" s="14">
        <v>1628550</v>
      </c>
      <c r="S27" s="14">
        <v>12000</v>
      </c>
      <c r="T27" s="14">
        <v>144000</v>
      </c>
      <c r="U27" s="16">
        <v>455000</v>
      </c>
      <c r="V27" s="16">
        <v>2083550</v>
      </c>
      <c r="W27" s="16">
        <v>360000</v>
      </c>
      <c r="X27" s="16">
        <v>1723550</v>
      </c>
      <c r="Y27" s="17">
        <v>0</v>
      </c>
      <c r="Z27" s="17">
        <v>282500</v>
      </c>
      <c r="AA27" s="17">
        <v>0</v>
      </c>
      <c r="AB27" s="18">
        <v>0</v>
      </c>
      <c r="AC27" s="18">
        <v>0</v>
      </c>
      <c r="AD27" s="18">
        <v>0</v>
      </c>
      <c r="AE27" s="18">
        <v>0</v>
      </c>
      <c r="AF27" s="17">
        <v>1441050</v>
      </c>
      <c r="AG27" s="17">
        <v>1441050</v>
      </c>
      <c r="AH27" s="13"/>
      <c r="AI27" s="13" t="s">
        <v>98</v>
      </c>
    </row>
    <row r="28" spans="1:35" ht="13.5" customHeight="1" x14ac:dyDescent="0.25">
      <c r="A28" s="13">
        <v>41</v>
      </c>
      <c r="B28" s="13" t="s">
        <v>99</v>
      </c>
      <c r="C28" s="13" t="s">
        <v>89</v>
      </c>
      <c r="D28" s="13" t="s">
        <v>52</v>
      </c>
      <c r="E28" s="13" t="s">
        <v>71</v>
      </c>
      <c r="F28" s="13">
        <v>16</v>
      </c>
      <c r="G28" s="13">
        <v>2</v>
      </c>
      <c r="H28" s="14">
        <v>6.35</v>
      </c>
      <c r="I28" s="14">
        <v>5</v>
      </c>
      <c r="J28" s="14">
        <v>0.78740157480314998</v>
      </c>
      <c r="K28" s="14">
        <v>78.740157480315006</v>
      </c>
      <c r="L28" s="15">
        <v>30</v>
      </c>
      <c r="M28" s="15">
        <v>45</v>
      </c>
      <c r="N28" s="13" t="s">
        <v>100</v>
      </c>
      <c r="O28" s="13" t="s">
        <v>94</v>
      </c>
      <c r="P28" s="14">
        <v>60.78740157</v>
      </c>
      <c r="Q28" s="14">
        <v>6200</v>
      </c>
      <c r="R28" s="14">
        <v>2393200</v>
      </c>
      <c r="S28" s="13"/>
      <c r="T28" s="14">
        <v>0</v>
      </c>
      <c r="U28" s="16">
        <v>0</v>
      </c>
      <c r="V28" s="16">
        <v>2393200</v>
      </c>
      <c r="W28" s="16">
        <v>0</v>
      </c>
      <c r="X28" s="16">
        <v>2393200</v>
      </c>
      <c r="Y28" s="17">
        <v>0</v>
      </c>
      <c r="Z28" s="17">
        <v>273050</v>
      </c>
      <c r="AA28" s="17">
        <v>0</v>
      </c>
      <c r="AB28" s="18">
        <v>0</v>
      </c>
      <c r="AC28" s="18">
        <v>0</v>
      </c>
      <c r="AD28" s="18">
        <v>0</v>
      </c>
      <c r="AE28" s="18">
        <v>0</v>
      </c>
      <c r="AF28" s="17">
        <v>2120150</v>
      </c>
      <c r="AG28" s="17">
        <v>2120150</v>
      </c>
      <c r="AH28" s="13" t="s">
        <v>61</v>
      </c>
      <c r="AI28" s="13"/>
    </row>
    <row r="29" spans="1:35" ht="13.5" customHeight="1" x14ac:dyDescent="0.25">
      <c r="A29" s="13">
        <v>43</v>
      </c>
      <c r="B29" s="13" t="s">
        <v>101</v>
      </c>
      <c r="C29" s="13" t="s">
        <v>59</v>
      </c>
      <c r="D29" s="13" t="s">
        <v>52</v>
      </c>
      <c r="E29" s="13" t="s">
        <v>53</v>
      </c>
      <c r="F29" s="13">
        <v>19</v>
      </c>
      <c r="G29" s="13">
        <v>4</v>
      </c>
      <c r="H29" s="14">
        <v>3.6</v>
      </c>
      <c r="I29" s="14">
        <v>15</v>
      </c>
      <c r="J29" s="14">
        <v>4.1666666666666696</v>
      </c>
      <c r="K29" s="14">
        <v>416.66666666666703</v>
      </c>
      <c r="L29" s="15">
        <v>30</v>
      </c>
      <c r="M29" s="15">
        <v>45</v>
      </c>
      <c r="N29" s="13" t="s">
        <v>72</v>
      </c>
      <c r="O29" s="13" t="s">
        <v>75</v>
      </c>
      <c r="P29" s="14">
        <v>40.416666669999998</v>
      </c>
      <c r="Q29" s="14">
        <v>6000</v>
      </c>
      <c r="R29" s="14">
        <v>873000</v>
      </c>
      <c r="S29" s="14">
        <v>0</v>
      </c>
      <c r="T29" s="14">
        <v>0</v>
      </c>
      <c r="U29" s="16">
        <v>0</v>
      </c>
      <c r="V29" s="16">
        <v>873000</v>
      </c>
      <c r="W29" s="16">
        <v>0</v>
      </c>
      <c r="X29" s="16">
        <v>873000</v>
      </c>
      <c r="Y29" s="17">
        <v>0</v>
      </c>
      <c r="Z29" s="17">
        <v>151200</v>
      </c>
      <c r="AA29" s="17">
        <v>0</v>
      </c>
      <c r="AB29" s="18">
        <v>0</v>
      </c>
      <c r="AC29" s="18">
        <v>0</v>
      </c>
      <c r="AD29" s="18">
        <v>0</v>
      </c>
      <c r="AE29" s="18">
        <v>0</v>
      </c>
      <c r="AF29" s="17">
        <v>721800</v>
      </c>
      <c r="AG29" s="17">
        <v>721800</v>
      </c>
      <c r="AH29" s="13" t="s">
        <v>102</v>
      </c>
      <c r="AI29" s="13"/>
    </row>
    <row r="30" spans="1:35" ht="13.5" customHeight="1" x14ac:dyDescent="0.25">
      <c r="A30" s="13">
        <v>44</v>
      </c>
      <c r="B30" s="13" t="s">
        <v>101</v>
      </c>
      <c r="C30" s="13" t="s">
        <v>65</v>
      </c>
      <c r="D30" s="13" t="s">
        <v>52</v>
      </c>
      <c r="E30" s="13" t="s">
        <v>53</v>
      </c>
      <c r="F30" s="13">
        <v>19</v>
      </c>
      <c r="G30" s="13">
        <v>4</v>
      </c>
      <c r="H30" s="14">
        <v>10</v>
      </c>
      <c r="I30" s="14">
        <v>29</v>
      </c>
      <c r="J30" s="14">
        <v>2.9</v>
      </c>
      <c r="K30" s="14">
        <v>290</v>
      </c>
      <c r="L30" s="15">
        <v>30</v>
      </c>
      <c r="M30" s="15">
        <v>45</v>
      </c>
      <c r="N30" s="13" t="s">
        <v>80</v>
      </c>
      <c r="O30" s="13" t="s">
        <v>94</v>
      </c>
      <c r="P30" s="14">
        <v>38.65</v>
      </c>
      <c r="Q30" s="14">
        <v>6000</v>
      </c>
      <c r="R30" s="14">
        <v>2319000</v>
      </c>
      <c r="S30" s="14">
        <v>0</v>
      </c>
      <c r="T30" s="14">
        <v>0</v>
      </c>
      <c r="U30" s="16">
        <v>0</v>
      </c>
      <c r="V30" s="16">
        <v>2319000</v>
      </c>
      <c r="W30" s="16">
        <v>0</v>
      </c>
      <c r="X30" s="16">
        <v>2319000</v>
      </c>
      <c r="Y30" s="17">
        <v>0</v>
      </c>
      <c r="Z30" s="17">
        <v>279100</v>
      </c>
      <c r="AA30" s="17">
        <v>0</v>
      </c>
      <c r="AB30" s="18">
        <v>0</v>
      </c>
      <c r="AC30" s="18">
        <v>0</v>
      </c>
      <c r="AD30" s="18">
        <v>0</v>
      </c>
      <c r="AE30" s="18">
        <v>0</v>
      </c>
      <c r="AF30" s="17">
        <v>2039900</v>
      </c>
      <c r="AG30" s="17">
        <v>2039900</v>
      </c>
      <c r="AH30" s="13"/>
      <c r="AI30" s="13" t="s">
        <v>103</v>
      </c>
    </row>
    <row r="31" spans="1:35" ht="13.5" customHeight="1" x14ac:dyDescent="0.25">
      <c r="A31" s="13">
        <v>46</v>
      </c>
      <c r="B31" s="13" t="s">
        <v>104</v>
      </c>
      <c r="C31" s="13" t="s">
        <v>105</v>
      </c>
      <c r="D31" s="13" t="s">
        <v>106</v>
      </c>
      <c r="E31" s="13" t="s">
        <v>107</v>
      </c>
      <c r="F31" s="13">
        <v>42</v>
      </c>
      <c r="G31" s="13">
        <v>2</v>
      </c>
      <c r="H31" s="14">
        <v>4.5</v>
      </c>
      <c r="I31" s="14">
        <v>9</v>
      </c>
      <c r="J31" s="14">
        <v>2</v>
      </c>
      <c r="K31" s="14">
        <v>200</v>
      </c>
      <c r="L31" s="15">
        <v>30</v>
      </c>
      <c r="M31" s="15">
        <v>45</v>
      </c>
      <c r="N31" s="13" t="s">
        <v>72</v>
      </c>
      <c r="O31" s="13" t="s">
        <v>75</v>
      </c>
      <c r="P31" s="14">
        <v>62.888888889999997</v>
      </c>
      <c r="Q31" s="14">
        <v>6000</v>
      </c>
      <c r="R31" s="14">
        <v>1698000</v>
      </c>
      <c r="S31" s="14">
        <v>25000</v>
      </c>
      <c r="T31" s="14">
        <v>35000</v>
      </c>
      <c r="U31" s="16">
        <v>350000</v>
      </c>
      <c r="V31" s="16">
        <v>2048000</v>
      </c>
      <c r="W31" s="16">
        <v>260000</v>
      </c>
      <c r="X31" s="16">
        <v>1788000</v>
      </c>
      <c r="Y31" s="17">
        <v>0</v>
      </c>
      <c r="Z31" s="17">
        <v>252100</v>
      </c>
      <c r="AA31" s="17">
        <v>100000</v>
      </c>
      <c r="AB31" s="18">
        <v>349920</v>
      </c>
      <c r="AC31" s="18">
        <v>0</v>
      </c>
      <c r="AD31" s="18">
        <v>0</v>
      </c>
      <c r="AE31" s="18">
        <v>58333.333330000001</v>
      </c>
      <c r="AF31" s="17">
        <v>1076646.6669999999</v>
      </c>
      <c r="AG31" s="17">
        <v>1134980</v>
      </c>
      <c r="AH31" s="13"/>
      <c r="AI31" s="13" t="s">
        <v>108</v>
      </c>
    </row>
    <row r="32" spans="1:35" ht="13.5" customHeight="1" x14ac:dyDescent="0.25">
      <c r="A32" s="13">
        <v>47</v>
      </c>
      <c r="B32" s="13" t="s">
        <v>104</v>
      </c>
      <c r="C32" s="13" t="s">
        <v>109</v>
      </c>
      <c r="D32" s="13" t="s">
        <v>106</v>
      </c>
      <c r="E32" s="13" t="s">
        <v>107</v>
      </c>
      <c r="F32" s="13">
        <v>42</v>
      </c>
      <c r="G32" s="13">
        <v>2</v>
      </c>
      <c r="H32" s="14">
        <v>3</v>
      </c>
      <c r="I32" s="14">
        <v>6</v>
      </c>
      <c r="J32" s="14">
        <v>2</v>
      </c>
      <c r="K32" s="14">
        <v>200</v>
      </c>
      <c r="L32" s="15">
        <v>30</v>
      </c>
      <c r="M32" s="15">
        <v>45</v>
      </c>
      <c r="N32" s="13" t="s">
        <v>72</v>
      </c>
      <c r="O32" s="13" t="s">
        <v>75</v>
      </c>
      <c r="P32" s="14">
        <v>13.5</v>
      </c>
      <c r="Q32" s="14">
        <v>6000</v>
      </c>
      <c r="R32" s="14">
        <v>243000</v>
      </c>
      <c r="S32" s="14">
        <v>25000</v>
      </c>
      <c r="T32" s="14">
        <v>17500</v>
      </c>
      <c r="U32" s="16">
        <v>0</v>
      </c>
      <c r="V32" s="16">
        <v>243000</v>
      </c>
      <c r="W32" s="16">
        <v>167500</v>
      </c>
      <c r="X32" s="16">
        <v>75500</v>
      </c>
      <c r="Y32" s="17">
        <v>0</v>
      </c>
      <c r="Z32" s="17">
        <v>198400</v>
      </c>
      <c r="AA32" s="17">
        <v>0</v>
      </c>
      <c r="AB32" s="18">
        <v>249960</v>
      </c>
      <c r="AC32" s="18">
        <v>0</v>
      </c>
      <c r="AD32" s="18">
        <v>0</v>
      </c>
      <c r="AE32" s="18">
        <v>58333.333330000001</v>
      </c>
      <c r="AF32" s="17">
        <v>-431193.3333</v>
      </c>
      <c r="AG32" s="17">
        <v>-372860</v>
      </c>
      <c r="AH32" s="13"/>
      <c r="AI32" s="13"/>
    </row>
    <row r="33" spans="1:35" ht="13.5" customHeight="1" x14ac:dyDescent="0.25">
      <c r="A33" s="13">
        <v>49</v>
      </c>
      <c r="B33" s="13" t="s">
        <v>104</v>
      </c>
      <c r="C33" s="13" t="s">
        <v>110</v>
      </c>
      <c r="D33" s="13" t="s">
        <v>106</v>
      </c>
      <c r="E33" s="13" t="s">
        <v>107</v>
      </c>
      <c r="F33" s="13">
        <v>42</v>
      </c>
      <c r="G33" s="13">
        <v>2</v>
      </c>
      <c r="H33" s="14">
        <v>3.55</v>
      </c>
      <c r="I33" s="14">
        <v>7</v>
      </c>
      <c r="J33" s="14">
        <v>1.9718309859154901</v>
      </c>
      <c r="K33" s="14">
        <v>197.183098591549</v>
      </c>
      <c r="L33" s="15">
        <v>30</v>
      </c>
      <c r="M33" s="15">
        <v>45</v>
      </c>
      <c r="N33" s="13" t="s">
        <v>72</v>
      </c>
      <c r="O33" s="13" t="s">
        <v>75</v>
      </c>
      <c r="P33" s="14">
        <v>38.028169009999999</v>
      </c>
      <c r="Q33" s="14">
        <v>6000</v>
      </c>
      <c r="R33" s="14">
        <v>810000</v>
      </c>
      <c r="S33" s="14">
        <v>25000</v>
      </c>
      <c r="T33" s="14">
        <v>12000</v>
      </c>
      <c r="U33" s="16">
        <v>0</v>
      </c>
      <c r="V33" s="16">
        <v>810000</v>
      </c>
      <c r="W33" s="16">
        <v>187000</v>
      </c>
      <c r="X33" s="16">
        <v>623000</v>
      </c>
      <c r="Y33" s="17">
        <v>0</v>
      </c>
      <c r="Z33" s="17">
        <v>149990</v>
      </c>
      <c r="AA33" s="17">
        <v>0</v>
      </c>
      <c r="AB33" s="18">
        <v>250062</v>
      </c>
      <c r="AC33" s="18">
        <v>0</v>
      </c>
      <c r="AD33" s="18">
        <v>0</v>
      </c>
      <c r="AE33" s="18">
        <v>58333.333330000001</v>
      </c>
      <c r="AF33" s="17">
        <v>164614.6667</v>
      </c>
      <c r="AG33" s="17">
        <v>222948</v>
      </c>
      <c r="AH33" s="13"/>
      <c r="AI33" s="13"/>
    </row>
    <row r="34" spans="1:35" ht="13.5" customHeight="1" x14ac:dyDescent="0.25">
      <c r="A34" s="13">
        <v>51</v>
      </c>
      <c r="B34" s="13" t="s">
        <v>111</v>
      </c>
      <c r="C34" s="13" t="s">
        <v>57</v>
      </c>
      <c r="D34" s="13" t="s">
        <v>52</v>
      </c>
      <c r="E34" s="13" t="s">
        <v>53</v>
      </c>
      <c r="F34" s="13">
        <v>44</v>
      </c>
      <c r="G34" s="13">
        <v>5</v>
      </c>
      <c r="H34" s="14">
        <v>4.8099999999999996</v>
      </c>
      <c r="I34" s="14">
        <v>10</v>
      </c>
      <c r="J34" s="14">
        <v>2.07900207900208</v>
      </c>
      <c r="K34" s="14">
        <v>207.90020790020799</v>
      </c>
      <c r="L34" s="15">
        <v>30</v>
      </c>
      <c r="M34" s="15">
        <v>45</v>
      </c>
      <c r="N34" s="13" t="s">
        <v>72</v>
      </c>
      <c r="O34" s="13" t="s">
        <v>75</v>
      </c>
      <c r="P34" s="14">
        <v>43.451143450000004</v>
      </c>
      <c r="Q34" s="14">
        <v>6000</v>
      </c>
      <c r="R34" s="14">
        <v>1254000</v>
      </c>
      <c r="S34" s="14">
        <v>25000</v>
      </c>
      <c r="T34" s="14">
        <v>0</v>
      </c>
      <c r="U34" s="16">
        <v>400000</v>
      </c>
      <c r="V34" s="16">
        <v>1654000</v>
      </c>
      <c r="W34" s="16">
        <v>250000</v>
      </c>
      <c r="X34" s="16">
        <v>1404000</v>
      </c>
      <c r="Y34" s="17">
        <v>0</v>
      </c>
      <c r="Z34" s="17">
        <v>162578</v>
      </c>
      <c r="AA34" s="17">
        <v>0</v>
      </c>
      <c r="AB34" s="18">
        <v>500004</v>
      </c>
      <c r="AC34" s="18">
        <v>0</v>
      </c>
      <c r="AD34" s="18">
        <v>0</v>
      </c>
      <c r="AE34" s="18">
        <v>58333.333330000001</v>
      </c>
      <c r="AF34" s="17">
        <v>683084.66669999994</v>
      </c>
      <c r="AG34" s="17">
        <v>741418</v>
      </c>
      <c r="AH34" s="13"/>
      <c r="AI34" s="13" t="s">
        <v>112</v>
      </c>
    </row>
    <row r="35" spans="1:35" ht="13.5" customHeight="1" x14ac:dyDescent="0.25">
      <c r="A35" s="13">
        <v>53</v>
      </c>
      <c r="B35" s="13" t="s">
        <v>113</v>
      </c>
      <c r="C35" s="13" t="s">
        <v>114</v>
      </c>
      <c r="D35" s="13" t="s">
        <v>52</v>
      </c>
      <c r="E35" s="13" t="s">
        <v>53</v>
      </c>
      <c r="F35" s="13">
        <v>45</v>
      </c>
      <c r="G35" s="13">
        <v>4</v>
      </c>
      <c r="H35" s="14">
        <v>4.8</v>
      </c>
      <c r="I35" s="14">
        <v>10</v>
      </c>
      <c r="J35" s="14">
        <v>2.0833333333333299</v>
      </c>
      <c r="K35" s="14">
        <v>208.333333333333</v>
      </c>
      <c r="L35" s="15">
        <v>30</v>
      </c>
      <c r="M35" s="15">
        <v>45</v>
      </c>
      <c r="N35" s="13" t="s">
        <v>72</v>
      </c>
      <c r="O35" s="13" t="s">
        <v>75</v>
      </c>
      <c r="P35" s="14">
        <v>40.104166669999998</v>
      </c>
      <c r="Q35" s="14">
        <v>6000</v>
      </c>
      <c r="R35" s="14">
        <v>1155000</v>
      </c>
      <c r="S35" s="14">
        <v>25000</v>
      </c>
      <c r="T35" s="14">
        <v>0</v>
      </c>
      <c r="U35" s="16">
        <v>400000</v>
      </c>
      <c r="V35" s="16">
        <v>1555000</v>
      </c>
      <c r="W35" s="16">
        <v>250000</v>
      </c>
      <c r="X35" s="16">
        <v>1305000</v>
      </c>
      <c r="Y35" s="17">
        <v>0</v>
      </c>
      <c r="Z35" s="17">
        <v>162240</v>
      </c>
      <c r="AA35" s="17">
        <v>0</v>
      </c>
      <c r="AB35" s="18">
        <v>562520</v>
      </c>
      <c r="AC35" s="18">
        <v>0</v>
      </c>
      <c r="AD35" s="18">
        <v>0</v>
      </c>
      <c r="AE35" s="18">
        <v>58333.333330000001</v>
      </c>
      <c r="AF35" s="17">
        <v>521906.6667</v>
      </c>
      <c r="AG35" s="17">
        <v>580240</v>
      </c>
      <c r="AH35" s="13"/>
      <c r="AI35" s="13" t="s">
        <v>115</v>
      </c>
    </row>
    <row r="36" spans="1:35" ht="13.5" customHeight="1" x14ac:dyDescent="0.25">
      <c r="A36" s="13">
        <v>55</v>
      </c>
      <c r="B36" s="13" t="s">
        <v>116</v>
      </c>
      <c r="C36" s="13" t="s">
        <v>117</v>
      </c>
      <c r="D36" s="13" t="s">
        <v>52</v>
      </c>
      <c r="E36" s="13" t="s">
        <v>53</v>
      </c>
      <c r="F36" s="13">
        <v>46</v>
      </c>
      <c r="G36" s="13"/>
      <c r="H36" s="14">
        <v>3.45</v>
      </c>
      <c r="I36" s="14">
        <v>7</v>
      </c>
      <c r="J36" s="14">
        <v>2.02898550724638</v>
      </c>
      <c r="K36" s="14">
        <v>202.898550724638</v>
      </c>
      <c r="L36" s="15">
        <v>30</v>
      </c>
      <c r="M36" s="15">
        <v>45</v>
      </c>
      <c r="N36" s="13" t="s">
        <v>72</v>
      </c>
      <c r="O36" s="13" t="s">
        <v>75</v>
      </c>
      <c r="P36" s="14">
        <v>7.5362318840000002</v>
      </c>
      <c r="Q36" s="14">
        <v>6000</v>
      </c>
      <c r="R36" s="14">
        <v>156000</v>
      </c>
      <c r="S36" s="14">
        <v>25000</v>
      </c>
      <c r="T36" s="14">
        <v>0</v>
      </c>
      <c r="U36" s="16">
        <v>280000</v>
      </c>
      <c r="V36" s="16">
        <v>436000</v>
      </c>
      <c r="W36" s="16">
        <v>175000</v>
      </c>
      <c r="X36" s="16">
        <v>261000</v>
      </c>
      <c r="Y36" s="17">
        <v>0</v>
      </c>
      <c r="Z36" s="17">
        <v>189060</v>
      </c>
      <c r="AA36" s="17">
        <v>0</v>
      </c>
      <c r="AB36" s="18">
        <v>365000</v>
      </c>
      <c r="AC36" s="18">
        <v>0</v>
      </c>
      <c r="AD36" s="18">
        <v>0</v>
      </c>
      <c r="AE36" s="18">
        <v>58333.333330000001</v>
      </c>
      <c r="AF36" s="17">
        <v>-355393.3333</v>
      </c>
      <c r="AG36" s="17">
        <v>-297060</v>
      </c>
      <c r="AH36" s="13"/>
      <c r="AI36" s="13" t="s">
        <v>115</v>
      </c>
    </row>
    <row r="37" spans="1:35" ht="13.5" customHeight="1" x14ac:dyDescent="0.25">
      <c r="A37" s="13">
        <v>60</v>
      </c>
      <c r="B37" s="13" t="s">
        <v>118</v>
      </c>
      <c r="C37" s="13" t="s">
        <v>119</v>
      </c>
      <c r="D37" s="13" t="s">
        <v>120</v>
      </c>
      <c r="E37" s="13" t="s">
        <v>120</v>
      </c>
      <c r="F37" s="13">
        <v>48</v>
      </c>
      <c r="G37" s="13">
        <v>3</v>
      </c>
      <c r="H37" s="14">
        <v>4.4400000000000004</v>
      </c>
      <c r="I37" s="14">
        <v>9</v>
      </c>
      <c r="J37" s="14">
        <v>2.0270270270270299</v>
      </c>
      <c r="K37" s="14">
        <v>202.70270270270299</v>
      </c>
      <c r="L37" s="15">
        <v>30</v>
      </c>
      <c r="M37" s="15">
        <v>45</v>
      </c>
      <c r="N37" s="13" t="s">
        <v>72</v>
      </c>
      <c r="O37" s="13" t="s">
        <v>75</v>
      </c>
      <c r="P37" s="14">
        <v>40.202702700000003</v>
      </c>
      <c r="Q37" s="14">
        <v>6000</v>
      </c>
      <c r="R37" s="14">
        <v>1071000</v>
      </c>
      <c r="S37" s="14">
        <v>25000</v>
      </c>
      <c r="T37" s="14">
        <v>0</v>
      </c>
      <c r="U37" s="16">
        <v>245000</v>
      </c>
      <c r="V37" s="16">
        <v>1316000</v>
      </c>
      <c r="W37" s="16">
        <v>225000</v>
      </c>
      <c r="X37" s="16">
        <v>1091000</v>
      </c>
      <c r="Y37" s="17">
        <v>0</v>
      </c>
      <c r="Z37" s="17">
        <v>293272</v>
      </c>
      <c r="AA37" s="17">
        <v>0</v>
      </c>
      <c r="AB37" s="18">
        <v>399955.20000000001</v>
      </c>
      <c r="AC37" s="18">
        <v>0</v>
      </c>
      <c r="AD37" s="18">
        <v>0</v>
      </c>
      <c r="AE37" s="18">
        <v>104166.6667</v>
      </c>
      <c r="AF37" s="17">
        <v>285606.13329999999</v>
      </c>
      <c r="AG37" s="17">
        <v>389772.79999999999</v>
      </c>
      <c r="AH37" s="13"/>
      <c r="AI37" s="13"/>
    </row>
    <row r="38" spans="1:35" ht="13.5" customHeight="1" x14ac:dyDescent="0.25">
      <c r="A38" s="13">
        <v>61</v>
      </c>
      <c r="B38" s="13" t="s">
        <v>118</v>
      </c>
      <c r="C38" s="13" t="s">
        <v>121</v>
      </c>
      <c r="D38" s="13" t="s">
        <v>120</v>
      </c>
      <c r="E38" s="13" t="s">
        <v>120</v>
      </c>
      <c r="F38" s="13">
        <v>48</v>
      </c>
      <c r="G38" s="13">
        <v>3</v>
      </c>
      <c r="H38" s="14">
        <v>4.43</v>
      </c>
      <c r="I38" s="14">
        <v>9</v>
      </c>
      <c r="J38" s="14">
        <v>2.0316027088036099</v>
      </c>
      <c r="K38" s="14">
        <v>203.160270880361</v>
      </c>
      <c r="L38" s="15">
        <v>30</v>
      </c>
      <c r="M38" s="15">
        <v>45</v>
      </c>
      <c r="N38" s="13" t="s">
        <v>72</v>
      </c>
      <c r="O38" s="13" t="s">
        <v>75</v>
      </c>
      <c r="P38" s="14">
        <v>33.747178329999997</v>
      </c>
      <c r="Q38" s="14">
        <v>6000</v>
      </c>
      <c r="R38" s="14">
        <v>897000</v>
      </c>
      <c r="S38" s="14">
        <v>25000</v>
      </c>
      <c r="T38" s="14">
        <v>0</v>
      </c>
      <c r="U38" s="16">
        <v>280000</v>
      </c>
      <c r="V38" s="16">
        <v>1177000</v>
      </c>
      <c r="W38" s="16">
        <v>225000</v>
      </c>
      <c r="X38" s="16">
        <v>952000</v>
      </c>
      <c r="Y38" s="17">
        <v>0</v>
      </c>
      <c r="Z38" s="17">
        <v>301494</v>
      </c>
      <c r="AA38" s="17">
        <v>0</v>
      </c>
      <c r="AB38" s="18">
        <v>450088</v>
      </c>
      <c r="AC38" s="18">
        <v>0</v>
      </c>
      <c r="AD38" s="18">
        <v>0</v>
      </c>
      <c r="AE38" s="18">
        <v>58333.333330000001</v>
      </c>
      <c r="AF38" s="17">
        <v>142084.6667</v>
      </c>
      <c r="AG38" s="17">
        <v>200418</v>
      </c>
      <c r="AH38" s="13"/>
      <c r="AI38" s="13"/>
    </row>
    <row r="39" spans="1:35" ht="13.5" customHeight="1" x14ac:dyDescent="0.25">
      <c r="A39" s="13">
        <v>62</v>
      </c>
      <c r="B39" s="13" t="s">
        <v>118</v>
      </c>
      <c r="C39" s="13" t="s">
        <v>122</v>
      </c>
      <c r="D39" s="13" t="s">
        <v>120</v>
      </c>
      <c r="E39" s="13" t="s">
        <v>120</v>
      </c>
      <c r="F39" s="13">
        <v>48</v>
      </c>
      <c r="G39" s="13">
        <v>3</v>
      </c>
      <c r="H39" s="14">
        <v>3.77</v>
      </c>
      <c r="I39" s="14">
        <v>8</v>
      </c>
      <c r="J39" s="14">
        <v>2.1220159151193601</v>
      </c>
      <c r="K39" s="14">
        <v>212.20159151193599</v>
      </c>
      <c r="L39" s="15">
        <v>30</v>
      </c>
      <c r="M39" s="15">
        <v>45</v>
      </c>
      <c r="N39" s="13" t="s">
        <v>72</v>
      </c>
      <c r="O39" s="13" t="s">
        <v>75</v>
      </c>
      <c r="P39" s="14">
        <v>36.472148539999999</v>
      </c>
      <c r="Q39" s="14">
        <v>6000</v>
      </c>
      <c r="R39" s="14">
        <v>825000</v>
      </c>
      <c r="S39" s="14">
        <v>25000</v>
      </c>
      <c r="T39" s="14">
        <v>0</v>
      </c>
      <c r="U39" s="16">
        <v>240000</v>
      </c>
      <c r="V39" s="16">
        <v>1065000</v>
      </c>
      <c r="W39" s="16">
        <v>200000</v>
      </c>
      <c r="X39" s="16">
        <v>865000</v>
      </c>
      <c r="Y39" s="17">
        <v>0</v>
      </c>
      <c r="Z39" s="17">
        <v>250526</v>
      </c>
      <c r="AA39" s="17">
        <v>0</v>
      </c>
      <c r="AB39" s="18">
        <v>349938.38</v>
      </c>
      <c r="AC39" s="18">
        <v>0</v>
      </c>
      <c r="AD39" s="18">
        <v>0</v>
      </c>
      <c r="AE39" s="18">
        <v>58333.333330000001</v>
      </c>
      <c r="AF39" s="17">
        <v>200202.2867</v>
      </c>
      <c r="AG39" s="17">
        <v>258535.62</v>
      </c>
      <c r="AH39" s="13"/>
      <c r="AI39" s="13"/>
    </row>
    <row r="40" spans="1:35" ht="14.25" customHeight="1"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row>
    <row r="41" spans="1:35" ht="14.25" customHeight="1"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row>
    <row r="42" spans="1:35" ht="14.25" customHeight="1"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row>
    <row r="43" spans="1:35" ht="14.25" customHeight="1"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row>
    <row r="44" spans="1:35" ht="14.25" customHeight="1"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row>
    <row r="45" spans="1:35" ht="14.25" customHeight="1"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row>
    <row r="46" spans="1:35" ht="14.25" customHeight="1"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row>
    <row r="47" spans="1:35" ht="14.25" customHeight="1"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row>
    <row r="48" spans="1:35" ht="14.25" customHeight="1"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row>
    <row r="49" spans="1:35" ht="14.25" customHeight="1"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row>
    <row r="50" spans="1:35" ht="14.25" customHeight="1"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row>
    <row r="51" spans="1:35" ht="14.25" customHeight="1"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row>
    <row r="52" spans="1:35" ht="14.25" customHeight="1"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row>
    <row r="53" spans="1:35" ht="14.25" customHeight="1"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ht="14.25" customHeight="1"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row>
    <row r="55" spans="1:35" ht="14.25" customHeight="1"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row>
    <row r="56" spans="1:35" ht="14.25" customHeight="1"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row>
    <row r="57" spans="1:35" ht="14.25" customHeight="1"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row>
    <row r="58" spans="1:35" ht="14.25" customHeight="1"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row>
    <row r="59" spans="1:35" ht="14.25" customHeight="1"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row>
    <row r="60" spans="1:35" ht="14.25" customHeight="1"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row>
    <row r="61" spans="1:35" ht="14.25" customHeight="1"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row>
    <row r="62" spans="1:35" ht="14.25" customHeight="1"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row>
    <row r="63" spans="1:35" ht="14.25" customHeight="1"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row>
    <row r="64" spans="1:35" ht="14.25" customHeight="1"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row>
    <row r="65" spans="1:35" ht="14.25" customHeight="1"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row>
    <row r="66" spans="1:35" ht="14.25" customHeight="1"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row>
    <row r="67" spans="1:35" ht="14.25" customHeight="1"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row>
    <row r="68" spans="1:35" ht="14.25" customHeight="1"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row>
    <row r="69" spans="1:35" ht="14.25" customHeight="1"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row>
    <row r="70" spans="1:35" ht="14.25" customHeight="1"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row>
    <row r="71" spans="1:35" ht="14.25" customHeight="1"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row>
    <row r="72" spans="1:35" ht="14.25" customHeight="1"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row>
    <row r="73" spans="1:35" ht="14.25" customHeight="1"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row>
    <row r="74" spans="1:35" ht="14.25" customHeight="1"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row>
    <row r="75" spans="1:35" ht="14.25" customHeight="1"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row>
    <row r="76" spans="1:35" ht="14.25" customHeight="1"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row>
    <row r="77" spans="1:35" ht="14.25" customHeight="1"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row>
    <row r="78" spans="1:35" ht="14.25" customHeight="1"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row>
    <row r="79" spans="1:35" ht="14.25" customHeight="1"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row>
    <row r="80" spans="1:35" ht="14.25" customHeight="1"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row>
    <row r="81" spans="1:35" ht="14.25" customHeight="1"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row>
    <row r="82" spans="1:35" ht="14.25" customHeight="1"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row>
    <row r="83" spans="1:35" ht="14.25" customHeight="1"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row>
    <row r="84" spans="1:35" ht="14.25" customHeight="1"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row>
    <row r="85" spans="1:35" ht="14.25" customHeight="1"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row>
    <row r="86" spans="1:35" ht="14.25" customHeight="1"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row>
    <row r="87" spans="1:35" ht="14.25" customHeight="1"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row>
    <row r="88" spans="1:35" ht="14.25" customHeight="1"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row>
    <row r="89" spans="1:35" ht="14.25" customHeight="1"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row>
    <row r="90" spans="1:35" ht="14.25" customHeight="1"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row>
    <row r="91" spans="1:35" ht="14.25" customHeight="1"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row>
    <row r="92" spans="1:35" ht="14.25" customHeight="1"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row>
    <row r="93" spans="1:35" ht="14.25" customHeight="1"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row>
    <row r="94" spans="1:35" ht="14.25" customHeight="1"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row>
    <row r="95" spans="1:35" ht="14.25" customHeight="1"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row>
    <row r="96" spans="1:35" ht="14.25" customHeight="1"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row>
    <row r="97" spans="1:35" ht="14.25" customHeight="1"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row>
    <row r="98" spans="1:35" ht="14.25" customHeight="1"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row>
    <row r="99" spans="1:35" ht="14.25" customHeight="1"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row>
    <row r="100" spans="1:35" ht="14.25" customHeight="1"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row>
    <row r="101" spans="1:35" ht="14.25" customHeight="1"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row>
    <row r="102" spans="1:35" ht="14.25" customHeight="1"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row>
    <row r="103" spans="1:35" ht="14.25" customHeight="1"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row>
    <row r="104" spans="1:35" ht="14.25" customHeight="1"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row>
    <row r="105" spans="1:35" ht="14.25" customHeight="1" x14ac:dyDescent="0.3">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row>
    <row r="106" spans="1:35" ht="14.25" customHeight="1" x14ac:dyDescent="0.3">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row>
    <row r="107" spans="1:35" ht="14.25" customHeight="1" x14ac:dyDescent="0.3">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row>
    <row r="108" spans="1:35" ht="14.25" customHeight="1" x14ac:dyDescent="0.3">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row>
    <row r="109" spans="1:35" ht="14.25" customHeight="1"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row>
    <row r="110" spans="1:35" ht="14.25" customHeight="1" x14ac:dyDescent="0.3">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row>
    <row r="111" spans="1:35" ht="14.25" customHeight="1" x14ac:dyDescent="0.3">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row>
    <row r="112" spans="1:35" ht="14.25" customHeight="1" x14ac:dyDescent="0.3">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row>
    <row r="113" spans="1:35" ht="14.25" customHeight="1" x14ac:dyDescent="0.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row>
    <row r="114" spans="1:35" ht="14.25" customHeight="1" x14ac:dyDescent="0.3">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row>
    <row r="115" spans="1:35" ht="14.25" customHeight="1" x14ac:dyDescent="0.3">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row>
    <row r="116" spans="1:35" ht="14.25" customHeight="1" x14ac:dyDescent="0.3">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row>
    <row r="117" spans="1:35" ht="14.25" customHeight="1" x14ac:dyDescent="0.3">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row>
    <row r="118" spans="1:35" ht="14.25" customHeight="1" x14ac:dyDescent="0.3">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row>
    <row r="119" spans="1:35" ht="14.25" customHeight="1" x14ac:dyDescent="0.3">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row>
    <row r="120" spans="1:35" ht="14.25" customHeight="1" x14ac:dyDescent="0.3">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row>
    <row r="121" spans="1:35" ht="14.25" customHeight="1" x14ac:dyDescent="0.3">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row>
    <row r="122" spans="1:35" ht="14.25" customHeight="1" x14ac:dyDescent="0.3">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row>
    <row r="123" spans="1:35" ht="14.25" customHeight="1" x14ac:dyDescent="0.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row>
    <row r="124" spans="1:35" ht="14.25" customHeight="1" x14ac:dyDescent="0.3">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row>
    <row r="125" spans="1:35" ht="14.25" customHeight="1" x14ac:dyDescent="0.3">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row>
    <row r="126" spans="1:35" ht="14.25" customHeight="1" x14ac:dyDescent="0.3">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row>
    <row r="127" spans="1:35" ht="14.25" customHeight="1" x14ac:dyDescent="0.3">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row>
    <row r="128" spans="1:35" ht="14.25" customHeight="1" x14ac:dyDescent="0.3">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row>
    <row r="129" spans="1:35" ht="14.25" customHeight="1" x14ac:dyDescent="0.3">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row>
    <row r="130" spans="1:35" ht="14.25" customHeight="1" x14ac:dyDescent="0.3">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row>
    <row r="131" spans="1:35" ht="14.25" customHeight="1" x14ac:dyDescent="0.3">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row>
    <row r="132" spans="1:35" ht="14.25" customHeight="1" x14ac:dyDescent="0.3">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row>
    <row r="133" spans="1:35" ht="14.25" customHeight="1" x14ac:dyDescent="0.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row>
    <row r="134" spans="1:35" ht="14.25" customHeight="1" x14ac:dyDescent="0.3">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row>
    <row r="135" spans="1:35" ht="14.25" customHeight="1" x14ac:dyDescent="0.3">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row>
    <row r="136" spans="1:35" ht="14.25" customHeight="1" x14ac:dyDescent="0.3">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row>
    <row r="137" spans="1:35" ht="14.25" customHeight="1" x14ac:dyDescent="0.3">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row>
    <row r="138" spans="1:35" ht="14.25" customHeight="1" x14ac:dyDescent="0.3">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row>
    <row r="139" spans="1:35" ht="14.25" customHeight="1" x14ac:dyDescent="0.3">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row>
    <row r="140" spans="1:35" ht="14.25" customHeight="1" x14ac:dyDescent="0.3">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row>
    <row r="141" spans="1:35" ht="14.25" customHeight="1" x14ac:dyDescent="0.3">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row>
    <row r="142" spans="1:35" ht="14.25" customHeight="1" x14ac:dyDescent="0.3">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row>
    <row r="143" spans="1:35" ht="14.25" customHeight="1" x14ac:dyDescent="0.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row>
    <row r="144" spans="1:35" ht="14.25" customHeight="1" x14ac:dyDescent="0.3">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row>
    <row r="145" spans="1:35" ht="14.25" customHeight="1" x14ac:dyDescent="0.3">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row>
    <row r="146" spans="1:35" ht="14.25" customHeight="1" x14ac:dyDescent="0.3">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row>
    <row r="147" spans="1:35" ht="14.25" customHeight="1" x14ac:dyDescent="0.3">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row>
    <row r="148" spans="1:35" ht="14.25" customHeight="1" x14ac:dyDescent="0.3">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row>
    <row r="149" spans="1:35" ht="14.25" customHeight="1" x14ac:dyDescent="0.3">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row>
    <row r="150" spans="1:35" ht="14.25" customHeight="1" x14ac:dyDescent="0.3">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row>
    <row r="151" spans="1:35" ht="14.25" customHeight="1"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row>
    <row r="152" spans="1:35" ht="14.25" customHeight="1" x14ac:dyDescent="0.3">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row>
    <row r="153" spans="1:35" ht="14.25" customHeight="1" x14ac:dyDescent="0.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row>
    <row r="154" spans="1:35" ht="14.25" customHeight="1" x14ac:dyDescent="0.3">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row>
    <row r="155" spans="1:35" ht="14.25" customHeight="1" x14ac:dyDescent="0.3">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row>
    <row r="156" spans="1:35" ht="14.25" customHeight="1" x14ac:dyDescent="0.3">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row>
    <row r="157" spans="1:35" ht="14.25" customHeight="1" x14ac:dyDescent="0.3">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row>
    <row r="158" spans="1:35" ht="14.25" customHeight="1" x14ac:dyDescent="0.3">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row>
    <row r="159" spans="1:35" ht="14.25" customHeight="1" x14ac:dyDescent="0.3">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row>
    <row r="160" spans="1:35" ht="14.25" customHeight="1" x14ac:dyDescent="0.3">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row>
    <row r="161" spans="1:35" ht="14.25" customHeight="1" x14ac:dyDescent="0.3">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row>
    <row r="162" spans="1:35" ht="14.25" customHeight="1" x14ac:dyDescent="0.3">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row>
    <row r="163" spans="1:35" ht="14.25" customHeight="1" x14ac:dyDescent="0.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row>
    <row r="164" spans="1:35" ht="14.25" customHeight="1" x14ac:dyDescent="0.3">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row>
    <row r="165" spans="1:35" ht="14.25" customHeight="1" x14ac:dyDescent="0.3">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row>
    <row r="166" spans="1:35" ht="14.25" customHeight="1" x14ac:dyDescent="0.3">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row>
    <row r="167" spans="1:35" ht="14.25" customHeight="1" x14ac:dyDescent="0.3">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row>
    <row r="168" spans="1:35" ht="14.25" customHeight="1" x14ac:dyDescent="0.3">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row>
    <row r="169" spans="1:35" ht="14.25" customHeight="1" x14ac:dyDescent="0.3">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row>
    <row r="170" spans="1:35" ht="14.25" customHeight="1" x14ac:dyDescent="0.3">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row>
    <row r="171" spans="1:35" ht="14.25" customHeight="1" x14ac:dyDescent="0.3">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row>
    <row r="172" spans="1:35" ht="14.25" customHeight="1" x14ac:dyDescent="0.3">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row>
    <row r="173" spans="1:35" ht="14.25" customHeight="1" x14ac:dyDescent="0.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row>
    <row r="174" spans="1:35" ht="14.25" customHeight="1" x14ac:dyDescent="0.3">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row>
    <row r="175" spans="1:35" ht="14.25" customHeight="1" x14ac:dyDescent="0.3">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row>
    <row r="176" spans="1:35" ht="14.25" customHeight="1" x14ac:dyDescent="0.3">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row>
    <row r="177" spans="1:35" ht="14.25" customHeight="1" x14ac:dyDescent="0.3">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row>
    <row r="178" spans="1:35" ht="14.25" customHeight="1" x14ac:dyDescent="0.3">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row>
    <row r="179" spans="1:35" ht="14.25" customHeight="1" x14ac:dyDescent="0.3">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row>
    <row r="180" spans="1:35" ht="14.25" customHeight="1" x14ac:dyDescent="0.3">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row>
    <row r="181" spans="1:35" ht="14.25" customHeight="1" x14ac:dyDescent="0.3">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row>
    <row r="182" spans="1:35" ht="14.25" customHeight="1" x14ac:dyDescent="0.3">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row>
    <row r="183" spans="1:35" ht="14.25" customHeight="1" x14ac:dyDescent="0.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row>
    <row r="184" spans="1:35" ht="14.25" customHeight="1" x14ac:dyDescent="0.3">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row>
    <row r="185" spans="1:35" ht="14.25" customHeight="1" x14ac:dyDescent="0.3">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row>
    <row r="186" spans="1:35" ht="14.25" customHeight="1" x14ac:dyDescent="0.3">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row>
    <row r="187" spans="1:35" ht="14.25" customHeight="1" x14ac:dyDescent="0.3">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row>
    <row r="188" spans="1:35" ht="14.25" customHeight="1" x14ac:dyDescent="0.3">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row>
    <row r="189" spans="1:35" ht="14.25" customHeight="1" x14ac:dyDescent="0.3">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row>
    <row r="190" spans="1:35" ht="14.25" customHeight="1" x14ac:dyDescent="0.3">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row>
    <row r="191" spans="1:35" ht="14.25" customHeight="1" x14ac:dyDescent="0.3">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row>
    <row r="192" spans="1:35" ht="14.25" customHeight="1" x14ac:dyDescent="0.3">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row>
    <row r="193" spans="1:35" ht="14.25" customHeight="1" x14ac:dyDescent="0.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row>
    <row r="194" spans="1:35" ht="14.25" customHeight="1" x14ac:dyDescent="0.3">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row>
    <row r="195" spans="1:35" ht="14.25" customHeight="1" x14ac:dyDescent="0.3">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row>
    <row r="196" spans="1:35" ht="14.25" customHeight="1" x14ac:dyDescent="0.3">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row>
    <row r="197" spans="1:35" ht="14.25" customHeight="1" x14ac:dyDescent="0.3">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row>
    <row r="198" spans="1:35" ht="14.25" customHeight="1" x14ac:dyDescent="0.3">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row>
    <row r="199" spans="1:35" ht="14.25" customHeight="1" x14ac:dyDescent="0.3">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row>
    <row r="200" spans="1:35" ht="14.25" customHeight="1" x14ac:dyDescent="0.3">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row>
    <row r="201" spans="1:35" ht="14.25" customHeight="1" x14ac:dyDescent="0.3">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row>
    <row r="202" spans="1:35" ht="14.25" customHeight="1" x14ac:dyDescent="0.3">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row>
    <row r="203" spans="1:35" ht="14.25" customHeight="1" x14ac:dyDescent="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row>
    <row r="204" spans="1:35" ht="14.25" customHeight="1" x14ac:dyDescent="0.3">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row>
    <row r="205" spans="1:35" ht="14.25" customHeight="1" x14ac:dyDescent="0.3">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row>
    <row r="206" spans="1:35" ht="14.25" customHeight="1" x14ac:dyDescent="0.3">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row>
    <row r="207" spans="1:35" ht="14.25" customHeight="1" x14ac:dyDescent="0.3">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row>
    <row r="208" spans="1:35" ht="14.25" customHeight="1" x14ac:dyDescent="0.3">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row>
    <row r="209" spans="1:35" ht="14.25" customHeight="1" x14ac:dyDescent="0.3">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row>
    <row r="210" spans="1:35" ht="14.25" customHeight="1" x14ac:dyDescent="0.3">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row>
    <row r="211" spans="1:35" ht="14.25" customHeight="1" x14ac:dyDescent="0.3">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row>
    <row r="212" spans="1:35" ht="14.25" customHeight="1" x14ac:dyDescent="0.3">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row>
    <row r="213" spans="1:35" ht="14.25" customHeight="1" x14ac:dyDescent="0.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row>
    <row r="214" spans="1:35" ht="14.25" customHeight="1" x14ac:dyDescent="0.3">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row>
    <row r="215" spans="1:35" ht="14.25" customHeight="1" x14ac:dyDescent="0.3">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row>
    <row r="216" spans="1:35" ht="14.25" customHeight="1" x14ac:dyDescent="0.3">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row>
    <row r="217" spans="1:35" ht="14.25" customHeight="1" x14ac:dyDescent="0.3">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row>
    <row r="218" spans="1:35" ht="14.25" customHeight="1" x14ac:dyDescent="0.3">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row>
    <row r="219" spans="1:35" ht="14.25" customHeight="1" x14ac:dyDescent="0.3">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row>
    <row r="220" spans="1:35" ht="14.25" customHeight="1" x14ac:dyDescent="0.3">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row>
    <row r="221" spans="1:35" ht="14.25" customHeight="1" x14ac:dyDescent="0.3">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row>
    <row r="222" spans="1:35" ht="14.25" customHeight="1" x14ac:dyDescent="0.3">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row>
    <row r="223" spans="1:35" ht="14.25" customHeight="1" x14ac:dyDescent="0.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row>
    <row r="224" spans="1:35" ht="14.25" customHeight="1" x14ac:dyDescent="0.3">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row>
    <row r="225" spans="1:35" ht="14.25" customHeight="1" x14ac:dyDescent="0.3">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row>
    <row r="226" spans="1:35" ht="14.25" customHeight="1" x14ac:dyDescent="0.3">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row>
    <row r="227" spans="1:35" ht="14.25" customHeight="1" x14ac:dyDescent="0.3">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row>
    <row r="228" spans="1:35" ht="14.25" customHeight="1" x14ac:dyDescent="0.3">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row>
    <row r="229" spans="1:35" ht="14.25" customHeight="1" x14ac:dyDescent="0.3">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row>
    <row r="230" spans="1:35" ht="14.25" customHeight="1" x14ac:dyDescent="0.3">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row>
    <row r="231" spans="1:35" ht="14.25" customHeight="1" x14ac:dyDescent="0.3">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row>
    <row r="232" spans="1:35" ht="14.25" customHeight="1" x14ac:dyDescent="0.3">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row>
    <row r="233" spans="1:35" ht="14.25" customHeight="1" x14ac:dyDescent="0.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row>
    <row r="234" spans="1:35" ht="14.25" customHeight="1" x14ac:dyDescent="0.3">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row>
    <row r="235" spans="1:35" ht="14.25" customHeight="1" x14ac:dyDescent="0.3">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row>
    <row r="236" spans="1:35" ht="14.25" customHeight="1" x14ac:dyDescent="0.3">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row>
    <row r="237" spans="1:35" ht="14.25" customHeight="1" x14ac:dyDescent="0.3">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row>
    <row r="238" spans="1:35" ht="14.25" customHeight="1" x14ac:dyDescent="0.3">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row>
    <row r="239" spans="1:35" ht="14.25" customHeight="1" x14ac:dyDescent="0.3">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row>
    <row r="240" spans="1:35"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1000"/>
  <sheetViews>
    <sheetView showGridLines="0" zoomScaleNormal="100" workbookViewId="0">
      <pane xSplit="2" ySplit="3" topLeftCell="F4" activePane="bottomRight" state="frozen"/>
      <selection pane="topRight" activeCell="C1" sqref="C1"/>
      <selection pane="bottomLeft" activeCell="A4" sqref="A4"/>
      <selection pane="bottomRight" activeCell="B48" sqref="B48"/>
    </sheetView>
  </sheetViews>
  <sheetFormatPr defaultColWidth="12.59765625" defaultRowHeight="13.8" x14ac:dyDescent="0.25"/>
  <cols>
    <col min="1" max="1" width="5.296875" customWidth="1"/>
    <col min="2" max="2" width="55" customWidth="1"/>
    <col min="3" max="4" width="22" customWidth="1"/>
    <col min="5" max="6" width="20" customWidth="1"/>
    <col min="7" max="7" width="18" customWidth="1"/>
    <col min="8" max="8" width="14" customWidth="1"/>
    <col min="9" max="10" width="16" customWidth="1"/>
    <col min="11" max="11" width="17.5" customWidth="1"/>
    <col min="12" max="12" width="19.09765625" customWidth="1"/>
    <col min="13" max="13" width="19.19921875" customWidth="1"/>
    <col min="14" max="14" width="19.8984375" customWidth="1"/>
    <col min="15" max="15" width="22" customWidth="1"/>
    <col min="16" max="17" width="19" customWidth="1"/>
    <col min="18" max="18" width="17.5" customWidth="1"/>
    <col min="19" max="19" width="17" customWidth="1"/>
    <col min="20" max="20" width="16.69921875" customWidth="1"/>
    <col min="21" max="21" width="17.09765625" customWidth="1"/>
    <col min="22" max="22" width="22.5" customWidth="1"/>
    <col min="23" max="23" width="17" customWidth="1"/>
    <col min="24" max="24" width="20.59765625" customWidth="1"/>
    <col min="25" max="25" width="22.796875" customWidth="1"/>
    <col min="26" max="28" width="17" customWidth="1"/>
    <col min="29" max="29" width="19.3984375" customWidth="1"/>
    <col min="30" max="31" width="17" customWidth="1"/>
    <col min="32" max="32" width="18" customWidth="1"/>
    <col min="33" max="33" width="17" customWidth="1"/>
    <col min="34" max="34" width="21.8984375" customWidth="1"/>
    <col min="35" max="35" width="17" customWidth="1"/>
  </cols>
  <sheetData>
    <row r="1" spans="1:35" ht="21" customHeight="1" x14ac:dyDescent="0.4">
      <c r="A1" s="9" t="s">
        <v>123</v>
      </c>
      <c r="G1" s="20"/>
    </row>
    <row r="2" spans="1:35" ht="13.5" customHeight="1" x14ac:dyDescent="0.25">
      <c r="G2" s="20"/>
    </row>
    <row r="3" spans="1:35" s="32" customFormat="1" ht="28.8" x14ac:dyDescent="0.25">
      <c r="A3" s="29" t="s">
        <v>124</v>
      </c>
      <c r="B3" s="29" t="s">
        <v>125</v>
      </c>
      <c r="C3" s="29" t="s">
        <v>126</v>
      </c>
      <c r="D3" s="29" t="s">
        <v>127</v>
      </c>
      <c r="E3" s="29" t="s">
        <v>128</v>
      </c>
      <c r="F3" s="29" t="s">
        <v>129</v>
      </c>
      <c r="G3" s="30" t="s">
        <v>130</v>
      </c>
      <c r="H3" s="29" t="s">
        <v>131</v>
      </c>
      <c r="I3" s="29" t="s">
        <v>132</v>
      </c>
      <c r="J3" s="29" t="s">
        <v>133</v>
      </c>
      <c r="K3" s="29" t="s">
        <v>134</v>
      </c>
      <c r="L3" s="29" t="s">
        <v>135</v>
      </c>
      <c r="M3" s="29" t="s">
        <v>136</v>
      </c>
      <c r="N3" s="29" t="s">
        <v>137</v>
      </c>
      <c r="O3" s="29" t="s">
        <v>138</v>
      </c>
      <c r="P3" s="29" t="s">
        <v>139</v>
      </c>
      <c r="Q3" s="29" t="s">
        <v>140</v>
      </c>
      <c r="R3" s="29" t="s">
        <v>141</v>
      </c>
      <c r="S3" s="29" t="s">
        <v>142</v>
      </c>
      <c r="T3" s="29" t="s">
        <v>143</v>
      </c>
      <c r="U3" s="29" t="s">
        <v>144</v>
      </c>
      <c r="V3" s="29" t="s">
        <v>145</v>
      </c>
      <c r="W3" s="29" t="s">
        <v>146</v>
      </c>
      <c r="X3" s="31" t="s">
        <v>147</v>
      </c>
      <c r="Y3" s="31" t="s">
        <v>148</v>
      </c>
      <c r="Z3" s="31" t="s">
        <v>149</v>
      </c>
      <c r="AA3" s="31" t="s">
        <v>150</v>
      </c>
      <c r="AB3" s="31" t="s">
        <v>151</v>
      </c>
      <c r="AC3" s="31" t="s">
        <v>152</v>
      </c>
      <c r="AD3" s="31" t="s">
        <v>153</v>
      </c>
      <c r="AE3" s="31" t="s">
        <v>154</v>
      </c>
      <c r="AF3" s="31" t="s">
        <v>155</v>
      </c>
      <c r="AG3" s="31" t="s">
        <v>156</v>
      </c>
      <c r="AH3" s="29" t="s">
        <v>157</v>
      </c>
      <c r="AI3" s="29" t="s">
        <v>158</v>
      </c>
    </row>
    <row r="4" spans="1:35" s="32" customFormat="1" ht="28.8" x14ac:dyDescent="0.25">
      <c r="A4" s="33">
        <v>1</v>
      </c>
      <c r="B4" s="34" t="s">
        <v>159</v>
      </c>
      <c r="C4" s="35">
        <v>6.6</v>
      </c>
      <c r="D4" s="35">
        <v>30</v>
      </c>
      <c r="E4" s="35">
        <f t="shared" ref="E4:E39" si="0">D4/C4</f>
        <v>4.5454545454545459</v>
      </c>
      <c r="F4" s="35">
        <f t="shared" ref="F4:F39" si="1">E4*100</f>
        <v>454.54545454545456</v>
      </c>
      <c r="G4" s="36">
        <v>21</v>
      </c>
      <c r="H4" s="34" t="s">
        <v>72</v>
      </c>
      <c r="I4" s="34" t="s">
        <v>160</v>
      </c>
      <c r="J4" s="34" t="s">
        <v>161</v>
      </c>
      <c r="K4" s="35">
        <f t="shared" ref="K4:K39" si="2">U4/D4</f>
        <v>25000</v>
      </c>
      <c r="L4" s="34" t="s">
        <v>162</v>
      </c>
      <c r="M4" s="34" t="s">
        <v>163</v>
      </c>
      <c r="N4" s="34" t="s">
        <v>164</v>
      </c>
      <c r="O4" s="35">
        <v>20</v>
      </c>
      <c r="P4" s="35">
        <v>36.549999999999997</v>
      </c>
      <c r="Q4" s="35">
        <v>241.2</v>
      </c>
      <c r="R4" s="35">
        <v>1447200</v>
      </c>
      <c r="S4" s="35">
        <v>700000</v>
      </c>
      <c r="T4" s="35">
        <f t="shared" ref="T4:T39" si="3">R4+S4</f>
        <v>2147200</v>
      </c>
      <c r="U4" s="35">
        <v>750000</v>
      </c>
      <c r="V4" s="35">
        <f t="shared" ref="V4:V39" si="4">U4</f>
        <v>750000</v>
      </c>
      <c r="W4" s="35">
        <f t="shared" ref="W4:W39" si="5">T4-V4</f>
        <v>1397200</v>
      </c>
      <c r="X4" s="37">
        <v>158931.82</v>
      </c>
      <c r="Y4" s="37">
        <v>44831.34</v>
      </c>
      <c r="Z4" s="37">
        <v>5114.92</v>
      </c>
      <c r="AA4" s="37">
        <v>371561.2</v>
      </c>
      <c r="AB4" s="37">
        <v>175000</v>
      </c>
      <c r="AC4" s="37">
        <f t="shared" ref="AC4:AC39" si="6">AA4+AB4</f>
        <v>546561.19999999995</v>
      </c>
      <c r="AD4" s="37">
        <v>10432.01</v>
      </c>
      <c r="AE4" s="37">
        <v>59089.86</v>
      </c>
      <c r="AF4" s="37">
        <v>0</v>
      </c>
      <c r="AG4" s="37">
        <f t="shared" ref="AG4:AG39" si="7">AD4+AE4+AF4</f>
        <v>69521.87</v>
      </c>
      <c r="AH4" s="35">
        <v>63731.13</v>
      </c>
      <c r="AI4" s="35">
        <f t="shared" ref="AI4:AI39" si="8">W4+AH4</f>
        <v>1460931.13</v>
      </c>
    </row>
    <row r="5" spans="1:35" s="32" customFormat="1" ht="28.8" x14ac:dyDescent="0.25">
      <c r="A5" s="38">
        <v>2</v>
      </c>
      <c r="B5" s="39" t="s">
        <v>165</v>
      </c>
      <c r="C5" s="40">
        <v>10.5</v>
      </c>
      <c r="D5" s="40">
        <v>28</v>
      </c>
      <c r="E5" s="40">
        <f t="shared" si="0"/>
        <v>2.6666666666666665</v>
      </c>
      <c r="F5" s="40">
        <f t="shared" si="1"/>
        <v>266.66666666666663</v>
      </c>
      <c r="G5" s="41">
        <v>21</v>
      </c>
      <c r="H5" s="39" t="s">
        <v>72</v>
      </c>
      <c r="I5" s="39" t="s">
        <v>160</v>
      </c>
      <c r="J5" s="39" t="s">
        <v>161</v>
      </c>
      <c r="K5" s="40">
        <f t="shared" si="2"/>
        <v>25000</v>
      </c>
      <c r="L5" s="39" t="s">
        <v>162</v>
      </c>
      <c r="M5" s="39" t="s">
        <v>163</v>
      </c>
      <c r="N5" s="39" t="s">
        <v>164</v>
      </c>
      <c r="O5" s="40">
        <v>20</v>
      </c>
      <c r="P5" s="40">
        <v>37.840000000000003</v>
      </c>
      <c r="Q5" s="40">
        <v>397.3</v>
      </c>
      <c r="R5" s="40">
        <v>2383800</v>
      </c>
      <c r="S5" s="40">
        <v>700000</v>
      </c>
      <c r="T5" s="40">
        <f t="shared" si="3"/>
        <v>3083800</v>
      </c>
      <c r="U5" s="40">
        <v>700000</v>
      </c>
      <c r="V5" s="40">
        <f t="shared" si="4"/>
        <v>700000</v>
      </c>
      <c r="W5" s="40">
        <f t="shared" si="5"/>
        <v>2383800</v>
      </c>
      <c r="X5" s="37">
        <v>135450</v>
      </c>
      <c r="Y5" s="37">
        <v>119764.24</v>
      </c>
      <c r="Z5" s="37">
        <v>11535.88</v>
      </c>
      <c r="AA5" s="37">
        <v>468654.76</v>
      </c>
      <c r="AB5" s="37">
        <v>175000</v>
      </c>
      <c r="AC5" s="37">
        <f t="shared" si="6"/>
        <v>643654.76</v>
      </c>
      <c r="AD5" s="37">
        <v>13956.46</v>
      </c>
      <c r="AE5" s="37">
        <v>104325.34</v>
      </c>
      <c r="AF5" s="37">
        <v>0</v>
      </c>
      <c r="AG5" s="37">
        <f t="shared" si="7"/>
        <v>118281.79999999999</v>
      </c>
      <c r="AH5" s="40">
        <v>79987.56</v>
      </c>
      <c r="AI5" s="40">
        <f t="shared" si="8"/>
        <v>2463787.56</v>
      </c>
    </row>
    <row r="6" spans="1:35" s="32" customFormat="1" ht="28.8" x14ac:dyDescent="0.25">
      <c r="A6" s="33">
        <v>3</v>
      </c>
      <c r="B6" s="34" t="s">
        <v>166</v>
      </c>
      <c r="C6" s="35">
        <v>4.8</v>
      </c>
      <c r="D6" s="35">
        <v>10</v>
      </c>
      <c r="E6" s="35">
        <f t="shared" si="0"/>
        <v>2.0833333333333335</v>
      </c>
      <c r="F6" s="35">
        <f t="shared" si="1"/>
        <v>208.33333333333334</v>
      </c>
      <c r="G6" s="36">
        <v>21</v>
      </c>
      <c r="H6" s="34" t="s">
        <v>72</v>
      </c>
      <c r="I6" s="34" t="s">
        <v>160</v>
      </c>
      <c r="J6" s="34" t="s">
        <v>161</v>
      </c>
      <c r="K6" s="35">
        <f t="shared" si="2"/>
        <v>25000</v>
      </c>
      <c r="L6" s="34" t="s">
        <v>162</v>
      </c>
      <c r="M6" s="34" t="s">
        <v>163</v>
      </c>
      <c r="N6" s="34" t="s">
        <v>164</v>
      </c>
      <c r="O6" s="35">
        <v>7</v>
      </c>
      <c r="P6" s="35">
        <v>37.840000000000003</v>
      </c>
      <c r="Q6" s="35">
        <v>181.6</v>
      </c>
      <c r="R6" s="35">
        <v>1089600</v>
      </c>
      <c r="S6" s="35">
        <v>245000</v>
      </c>
      <c r="T6" s="35">
        <f t="shared" si="3"/>
        <v>1334600</v>
      </c>
      <c r="U6" s="35">
        <v>250000</v>
      </c>
      <c r="V6" s="35">
        <f t="shared" si="4"/>
        <v>250000</v>
      </c>
      <c r="W6" s="35">
        <f t="shared" si="5"/>
        <v>1084600</v>
      </c>
      <c r="X6" s="37">
        <v>48375</v>
      </c>
      <c r="Y6" s="37">
        <v>65157.96</v>
      </c>
      <c r="Z6" s="37">
        <v>6003.78</v>
      </c>
      <c r="AA6" s="37">
        <v>316868.45</v>
      </c>
      <c r="AB6" s="37">
        <v>175000</v>
      </c>
      <c r="AC6" s="37">
        <f t="shared" si="6"/>
        <v>491868.45</v>
      </c>
      <c r="AD6" s="37">
        <v>5940.07</v>
      </c>
      <c r="AE6" s="37">
        <v>49411.53</v>
      </c>
      <c r="AF6" s="37">
        <v>0</v>
      </c>
      <c r="AG6" s="37">
        <f t="shared" si="7"/>
        <v>55351.6</v>
      </c>
      <c r="AH6" s="35">
        <v>31198.03</v>
      </c>
      <c r="AI6" s="35">
        <f t="shared" si="8"/>
        <v>1115798.03</v>
      </c>
    </row>
    <row r="7" spans="1:35" s="32" customFormat="1" ht="28.8" x14ac:dyDescent="0.25">
      <c r="A7" s="38">
        <v>4</v>
      </c>
      <c r="B7" s="39" t="s">
        <v>167</v>
      </c>
      <c r="C7" s="40">
        <v>4.5</v>
      </c>
      <c r="D7" s="40">
        <v>16</v>
      </c>
      <c r="E7" s="40">
        <f t="shared" si="0"/>
        <v>3.5555555555555554</v>
      </c>
      <c r="F7" s="40">
        <f t="shared" si="1"/>
        <v>355.55555555555554</v>
      </c>
      <c r="G7" s="41">
        <v>21</v>
      </c>
      <c r="H7" s="39" t="s">
        <v>72</v>
      </c>
      <c r="I7" s="39" t="s">
        <v>160</v>
      </c>
      <c r="J7" s="39" t="s">
        <v>161</v>
      </c>
      <c r="K7" s="40">
        <f t="shared" si="2"/>
        <v>25000</v>
      </c>
      <c r="L7" s="39" t="s">
        <v>162</v>
      </c>
      <c r="M7" s="39" t="s">
        <v>163</v>
      </c>
      <c r="N7" s="39" t="s">
        <v>164</v>
      </c>
      <c r="O7" s="40">
        <v>11</v>
      </c>
      <c r="P7" s="40">
        <v>37.840000000000003</v>
      </c>
      <c r="Q7" s="40">
        <v>170.3</v>
      </c>
      <c r="R7" s="40">
        <v>1021800</v>
      </c>
      <c r="S7" s="40">
        <v>385000</v>
      </c>
      <c r="T7" s="40">
        <f t="shared" si="3"/>
        <v>1406800</v>
      </c>
      <c r="U7" s="40">
        <v>400000</v>
      </c>
      <c r="V7" s="40">
        <f t="shared" si="4"/>
        <v>400000</v>
      </c>
      <c r="W7" s="40">
        <f t="shared" si="5"/>
        <v>1006800</v>
      </c>
      <c r="X7" s="37">
        <v>77400</v>
      </c>
      <c r="Y7" s="37">
        <v>39808.949999999997</v>
      </c>
      <c r="Z7" s="37">
        <v>4135.84</v>
      </c>
      <c r="AA7" s="37">
        <v>306806.56</v>
      </c>
      <c r="AB7" s="37">
        <v>175000</v>
      </c>
      <c r="AC7" s="37">
        <f t="shared" si="6"/>
        <v>481806.56</v>
      </c>
      <c r="AD7" s="37">
        <v>6609.95</v>
      </c>
      <c r="AE7" s="37">
        <v>42253.8</v>
      </c>
      <c r="AF7" s="37">
        <v>0</v>
      </c>
      <c r="AG7" s="37">
        <f t="shared" si="7"/>
        <v>48863.75</v>
      </c>
      <c r="AH7" s="40">
        <v>40220.519999999997</v>
      </c>
      <c r="AI7" s="40">
        <f t="shared" si="8"/>
        <v>1047020.52</v>
      </c>
    </row>
    <row r="8" spans="1:35" s="32" customFormat="1" ht="28.8" x14ac:dyDescent="0.25">
      <c r="A8" s="33">
        <v>5</v>
      </c>
      <c r="B8" s="34" t="s">
        <v>168</v>
      </c>
      <c r="C8" s="35">
        <v>3.6</v>
      </c>
      <c r="D8" s="35">
        <v>13</v>
      </c>
      <c r="E8" s="35">
        <f t="shared" si="0"/>
        <v>3.6111111111111112</v>
      </c>
      <c r="F8" s="35">
        <f t="shared" si="1"/>
        <v>361.11111111111114</v>
      </c>
      <c r="G8" s="36">
        <v>21</v>
      </c>
      <c r="H8" s="34" t="s">
        <v>72</v>
      </c>
      <c r="I8" s="34" t="s">
        <v>160</v>
      </c>
      <c r="J8" s="34" t="s">
        <v>161</v>
      </c>
      <c r="K8" s="35">
        <f t="shared" si="2"/>
        <v>25000</v>
      </c>
      <c r="L8" s="34" t="s">
        <v>162</v>
      </c>
      <c r="M8" s="34" t="s">
        <v>163</v>
      </c>
      <c r="N8" s="34" t="s">
        <v>164</v>
      </c>
      <c r="O8" s="35">
        <v>9</v>
      </c>
      <c r="P8" s="35">
        <v>37.840000000000003</v>
      </c>
      <c r="Q8" s="35">
        <v>136.19999999999999</v>
      </c>
      <c r="R8" s="35">
        <v>817200</v>
      </c>
      <c r="S8" s="35">
        <v>315000</v>
      </c>
      <c r="T8" s="35">
        <f t="shared" si="3"/>
        <v>1132200</v>
      </c>
      <c r="U8" s="35">
        <v>325000</v>
      </c>
      <c r="V8" s="35">
        <f t="shared" si="4"/>
        <v>325000</v>
      </c>
      <c r="W8" s="35">
        <f t="shared" si="5"/>
        <v>807200</v>
      </c>
      <c r="X8" s="37">
        <v>62887.5</v>
      </c>
      <c r="Y8" s="37">
        <v>31360.92</v>
      </c>
      <c r="Z8" s="37">
        <v>3274.56</v>
      </c>
      <c r="AA8" s="37">
        <v>274416.13</v>
      </c>
      <c r="AB8" s="37">
        <v>175000</v>
      </c>
      <c r="AC8" s="37">
        <f t="shared" si="6"/>
        <v>449416.13</v>
      </c>
      <c r="AD8" s="37">
        <v>5319.39</v>
      </c>
      <c r="AE8" s="37">
        <v>33680.19</v>
      </c>
      <c r="AF8" s="37">
        <v>0</v>
      </c>
      <c r="AG8" s="37">
        <f t="shared" si="7"/>
        <v>38999.58</v>
      </c>
      <c r="AH8" s="35">
        <v>32427.17</v>
      </c>
      <c r="AI8" s="35">
        <f t="shared" si="8"/>
        <v>839627.17</v>
      </c>
    </row>
    <row r="9" spans="1:35" s="32" customFormat="1" ht="28.8" x14ac:dyDescent="0.25">
      <c r="A9" s="38">
        <v>6</v>
      </c>
      <c r="B9" s="39" t="s">
        <v>169</v>
      </c>
      <c r="C9" s="40">
        <v>5.0999999999999996</v>
      </c>
      <c r="D9" s="40">
        <v>5</v>
      </c>
      <c r="E9" s="40">
        <f t="shared" si="0"/>
        <v>0.98039215686274517</v>
      </c>
      <c r="F9" s="40">
        <f t="shared" si="1"/>
        <v>98.039215686274517</v>
      </c>
      <c r="G9" s="41">
        <v>21</v>
      </c>
      <c r="H9" s="39" t="s">
        <v>72</v>
      </c>
      <c r="I9" s="39" t="s">
        <v>160</v>
      </c>
      <c r="J9" s="39" t="s">
        <v>161</v>
      </c>
      <c r="K9" s="40">
        <f t="shared" si="2"/>
        <v>25000</v>
      </c>
      <c r="L9" s="39" t="s">
        <v>162</v>
      </c>
      <c r="M9" s="39" t="s">
        <v>163</v>
      </c>
      <c r="N9" s="39" t="s">
        <v>164</v>
      </c>
      <c r="O9" s="40">
        <v>3</v>
      </c>
      <c r="P9" s="40">
        <v>35.520000000000003</v>
      </c>
      <c r="Q9" s="40">
        <v>181.2</v>
      </c>
      <c r="R9" s="40">
        <v>1087200</v>
      </c>
      <c r="S9" s="40">
        <v>105000</v>
      </c>
      <c r="T9" s="40">
        <f t="shared" si="3"/>
        <v>1192200</v>
      </c>
      <c r="U9" s="40">
        <v>125000</v>
      </c>
      <c r="V9" s="40">
        <f t="shared" si="4"/>
        <v>125000</v>
      </c>
      <c r="W9" s="40">
        <f t="shared" si="5"/>
        <v>1067200</v>
      </c>
      <c r="X9" s="37">
        <v>24187.5</v>
      </c>
      <c r="Y9" s="37">
        <v>97443.73</v>
      </c>
      <c r="Z9" s="37">
        <v>8358.3700000000008</v>
      </c>
      <c r="AA9" s="37">
        <v>326620.53000000003</v>
      </c>
      <c r="AB9" s="37">
        <v>175000</v>
      </c>
      <c r="AC9" s="37">
        <f t="shared" si="6"/>
        <v>501620.53</v>
      </c>
      <c r="AD9" s="37">
        <v>5427.35</v>
      </c>
      <c r="AE9" s="37">
        <v>55954.98</v>
      </c>
      <c r="AF9" s="37">
        <v>0</v>
      </c>
      <c r="AG9" s="37">
        <f t="shared" si="7"/>
        <v>61382.33</v>
      </c>
      <c r="AH9" s="40">
        <v>18598.25</v>
      </c>
      <c r="AI9" s="40">
        <f t="shared" si="8"/>
        <v>1085798.25</v>
      </c>
    </row>
    <row r="10" spans="1:35" s="32" customFormat="1" ht="28.8" x14ac:dyDescent="0.25">
      <c r="A10" s="33">
        <v>7</v>
      </c>
      <c r="B10" s="34" t="s">
        <v>170</v>
      </c>
      <c r="C10" s="35">
        <v>3.2</v>
      </c>
      <c r="D10" s="35">
        <v>10</v>
      </c>
      <c r="E10" s="35">
        <f t="shared" si="0"/>
        <v>3.125</v>
      </c>
      <c r="F10" s="35">
        <f t="shared" si="1"/>
        <v>312.5</v>
      </c>
      <c r="G10" s="36">
        <v>21</v>
      </c>
      <c r="H10" s="34" t="s">
        <v>72</v>
      </c>
      <c r="I10" s="34" t="s">
        <v>160</v>
      </c>
      <c r="J10" s="34" t="s">
        <v>161</v>
      </c>
      <c r="K10" s="35">
        <f t="shared" si="2"/>
        <v>25000</v>
      </c>
      <c r="L10" s="34" t="s">
        <v>162</v>
      </c>
      <c r="M10" s="34" t="s">
        <v>163</v>
      </c>
      <c r="N10" s="34" t="s">
        <v>164</v>
      </c>
      <c r="O10" s="35">
        <v>7</v>
      </c>
      <c r="P10" s="35">
        <v>37.840000000000003</v>
      </c>
      <c r="Q10" s="35">
        <v>121.1</v>
      </c>
      <c r="R10" s="35">
        <v>726600</v>
      </c>
      <c r="S10" s="35">
        <v>245000</v>
      </c>
      <c r="T10" s="35">
        <f t="shared" si="3"/>
        <v>971600</v>
      </c>
      <c r="U10" s="35">
        <v>250000</v>
      </c>
      <c r="V10" s="35">
        <f t="shared" si="4"/>
        <v>250000</v>
      </c>
      <c r="W10" s="35">
        <f t="shared" si="5"/>
        <v>721600</v>
      </c>
      <c r="X10" s="37">
        <v>48375</v>
      </c>
      <c r="Y10" s="37">
        <v>31959.02</v>
      </c>
      <c r="Z10" s="37">
        <v>3197.15</v>
      </c>
      <c r="AA10" s="37">
        <v>258722.01</v>
      </c>
      <c r="AB10" s="37">
        <v>175000</v>
      </c>
      <c r="AC10" s="37">
        <f t="shared" si="6"/>
        <v>433722.01</v>
      </c>
      <c r="AD10" s="37">
        <v>4483.8900000000003</v>
      </c>
      <c r="AE10" s="37">
        <v>30893.47</v>
      </c>
      <c r="AF10" s="37">
        <v>0</v>
      </c>
      <c r="AG10" s="37">
        <f t="shared" si="7"/>
        <v>35377.360000000001</v>
      </c>
      <c r="AH10" s="35">
        <v>26718.73</v>
      </c>
      <c r="AI10" s="35">
        <f t="shared" si="8"/>
        <v>748318.73</v>
      </c>
    </row>
    <row r="11" spans="1:35" s="32" customFormat="1" ht="28.8" x14ac:dyDescent="0.25">
      <c r="A11" s="38">
        <v>8</v>
      </c>
      <c r="B11" s="39" t="s">
        <v>171</v>
      </c>
      <c r="C11" s="40">
        <v>10</v>
      </c>
      <c r="D11" s="40">
        <v>65</v>
      </c>
      <c r="E11" s="40">
        <f t="shared" si="0"/>
        <v>6.5</v>
      </c>
      <c r="F11" s="40">
        <f t="shared" si="1"/>
        <v>650</v>
      </c>
      <c r="G11" s="41">
        <v>21</v>
      </c>
      <c r="H11" s="39" t="s">
        <v>72</v>
      </c>
      <c r="I11" s="39" t="s">
        <v>160</v>
      </c>
      <c r="J11" s="39" t="s">
        <v>161</v>
      </c>
      <c r="K11" s="40">
        <f t="shared" si="2"/>
        <v>25000</v>
      </c>
      <c r="L11" s="39" t="s">
        <v>162</v>
      </c>
      <c r="M11" s="39" t="s">
        <v>163</v>
      </c>
      <c r="N11" s="39" t="s">
        <v>164</v>
      </c>
      <c r="O11" s="40">
        <v>33</v>
      </c>
      <c r="P11" s="40">
        <v>31.92</v>
      </c>
      <c r="Q11" s="40">
        <v>319.2</v>
      </c>
      <c r="R11" s="40">
        <v>1915200</v>
      </c>
      <c r="S11" s="40">
        <v>1155000</v>
      </c>
      <c r="T11" s="40">
        <f t="shared" si="3"/>
        <v>3070200</v>
      </c>
      <c r="U11" s="40">
        <v>1625000</v>
      </c>
      <c r="V11" s="40">
        <f t="shared" si="4"/>
        <v>1625000</v>
      </c>
      <c r="W11" s="40">
        <f t="shared" si="5"/>
        <v>1445200</v>
      </c>
      <c r="X11" s="37">
        <v>451546.88</v>
      </c>
      <c r="Y11" s="37">
        <v>43351.06</v>
      </c>
      <c r="Z11" s="37">
        <v>6025.77</v>
      </c>
      <c r="AA11" s="37">
        <v>457360.22</v>
      </c>
      <c r="AB11" s="37">
        <v>175000</v>
      </c>
      <c r="AC11" s="37">
        <f t="shared" si="6"/>
        <v>632360.22</v>
      </c>
      <c r="AD11" s="37">
        <v>16443.09</v>
      </c>
      <c r="AE11" s="37">
        <v>87040.19</v>
      </c>
      <c r="AF11" s="37">
        <v>0</v>
      </c>
      <c r="AG11" s="37">
        <f t="shared" si="7"/>
        <v>103483.28</v>
      </c>
      <c r="AH11" s="40">
        <v>95043.25</v>
      </c>
      <c r="AI11" s="40">
        <f t="shared" si="8"/>
        <v>1540243.25</v>
      </c>
    </row>
    <row r="12" spans="1:35" s="32" customFormat="1" ht="28.8" x14ac:dyDescent="0.25">
      <c r="A12" s="33">
        <v>9</v>
      </c>
      <c r="B12" s="34" t="s">
        <v>172</v>
      </c>
      <c r="C12" s="35">
        <v>5.5</v>
      </c>
      <c r="D12" s="35">
        <v>40</v>
      </c>
      <c r="E12" s="35">
        <f t="shared" si="0"/>
        <v>7.2727272727272725</v>
      </c>
      <c r="F12" s="35">
        <f t="shared" si="1"/>
        <v>727.27272727272725</v>
      </c>
      <c r="G12" s="36">
        <v>21</v>
      </c>
      <c r="H12" s="34" t="s">
        <v>72</v>
      </c>
      <c r="I12" s="34" t="s">
        <v>160</v>
      </c>
      <c r="J12" s="34" t="s">
        <v>161</v>
      </c>
      <c r="K12" s="35">
        <f t="shared" si="2"/>
        <v>25000</v>
      </c>
      <c r="L12" s="34" t="s">
        <v>162</v>
      </c>
      <c r="M12" s="34" t="s">
        <v>163</v>
      </c>
      <c r="N12" s="34" t="s">
        <v>164</v>
      </c>
      <c r="O12" s="35">
        <v>18</v>
      </c>
      <c r="P12" s="35">
        <v>30.1</v>
      </c>
      <c r="Q12" s="35">
        <v>165.6</v>
      </c>
      <c r="R12" s="35">
        <v>993600</v>
      </c>
      <c r="S12" s="35">
        <v>630000</v>
      </c>
      <c r="T12" s="35">
        <f t="shared" si="3"/>
        <v>1623600</v>
      </c>
      <c r="U12" s="35">
        <v>1000000</v>
      </c>
      <c r="V12" s="35">
        <f t="shared" si="4"/>
        <v>1000000</v>
      </c>
      <c r="W12" s="35">
        <f t="shared" si="5"/>
        <v>623600</v>
      </c>
      <c r="X12" s="37">
        <v>303954.55</v>
      </c>
      <c r="Y12" s="37">
        <v>20581.330000000002</v>
      </c>
      <c r="Z12" s="37">
        <v>3085.34</v>
      </c>
      <c r="AA12" s="37">
        <v>339187.42</v>
      </c>
      <c r="AB12" s="37">
        <v>175000</v>
      </c>
      <c r="AC12" s="37">
        <f t="shared" si="6"/>
        <v>514187.42</v>
      </c>
      <c r="AD12" s="37">
        <v>8977.2900000000009</v>
      </c>
      <c r="AE12" s="37">
        <v>48131.68</v>
      </c>
      <c r="AF12" s="37">
        <v>0</v>
      </c>
      <c r="AG12" s="37">
        <f t="shared" si="7"/>
        <v>57108.97</v>
      </c>
      <c r="AH12" s="35">
        <v>50619.71</v>
      </c>
      <c r="AI12" s="35">
        <f t="shared" si="8"/>
        <v>674219.71</v>
      </c>
    </row>
    <row r="13" spans="1:35" s="32" customFormat="1" ht="28.8" x14ac:dyDescent="0.25">
      <c r="A13" s="38">
        <v>10</v>
      </c>
      <c r="B13" s="39" t="s">
        <v>173</v>
      </c>
      <c r="C13" s="40">
        <v>7.26</v>
      </c>
      <c r="D13" s="40">
        <v>9</v>
      </c>
      <c r="E13" s="40">
        <f t="shared" si="0"/>
        <v>1.2396694214876034</v>
      </c>
      <c r="F13" s="40">
        <f t="shared" si="1"/>
        <v>123.96694214876034</v>
      </c>
      <c r="G13" s="41">
        <v>21</v>
      </c>
      <c r="H13" s="39" t="s">
        <v>72</v>
      </c>
      <c r="I13" s="39" t="s">
        <v>160</v>
      </c>
      <c r="J13" s="39" t="s">
        <v>161</v>
      </c>
      <c r="K13" s="40">
        <f t="shared" si="2"/>
        <v>25000</v>
      </c>
      <c r="L13" s="39" t="s">
        <v>162</v>
      </c>
      <c r="M13" s="39" t="s">
        <v>163</v>
      </c>
      <c r="N13" s="39" t="s">
        <v>164</v>
      </c>
      <c r="O13" s="40">
        <v>6</v>
      </c>
      <c r="P13" s="40">
        <v>36.11</v>
      </c>
      <c r="Q13" s="40">
        <v>262.2</v>
      </c>
      <c r="R13" s="40">
        <v>1573200</v>
      </c>
      <c r="S13" s="40">
        <v>210000</v>
      </c>
      <c r="T13" s="40">
        <f t="shared" si="3"/>
        <v>1783200</v>
      </c>
      <c r="U13" s="40">
        <v>225000</v>
      </c>
      <c r="V13" s="40">
        <f t="shared" si="4"/>
        <v>225000</v>
      </c>
      <c r="W13" s="40">
        <f t="shared" si="5"/>
        <v>1558200</v>
      </c>
      <c r="X13" s="37">
        <v>43537.5</v>
      </c>
      <c r="Y13" s="37">
        <v>127834.51</v>
      </c>
      <c r="Z13" s="37">
        <v>11135.11</v>
      </c>
      <c r="AA13" s="37">
        <v>389696.67</v>
      </c>
      <c r="AB13" s="37">
        <v>175000</v>
      </c>
      <c r="AC13" s="37">
        <f t="shared" si="6"/>
        <v>564696.66999999993</v>
      </c>
      <c r="AD13" s="37">
        <v>8021.8</v>
      </c>
      <c r="AE13" s="37">
        <v>78497.3</v>
      </c>
      <c r="AF13" s="37">
        <v>0</v>
      </c>
      <c r="AG13" s="37">
        <f t="shared" si="7"/>
        <v>86519.1</v>
      </c>
      <c r="AH13" s="40">
        <v>32085.72</v>
      </c>
      <c r="AI13" s="40">
        <f t="shared" si="8"/>
        <v>1590285.72</v>
      </c>
    </row>
    <row r="14" spans="1:35" s="32" customFormat="1" ht="28.8" x14ac:dyDescent="0.25">
      <c r="A14" s="33">
        <v>11</v>
      </c>
      <c r="B14" s="34" t="s">
        <v>174</v>
      </c>
      <c r="C14" s="35">
        <v>6.6</v>
      </c>
      <c r="D14" s="35">
        <v>30</v>
      </c>
      <c r="E14" s="35">
        <f t="shared" si="0"/>
        <v>4.5454545454545459</v>
      </c>
      <c r="F14" s="35">
        <f t="shared" si="1"/>
        <v>454.54545454545456</v>
      </c>
      <c r="G14" s="36">
        <v>21</v>
      </c>
      <c r="H14" s="34" t="s">
        <v>72</v>
      </c>
      <c r="I14" s="34" t="s">
        <v>160</v>
      </c>
      <c r="J14" s="34" t="s">
        <v>161</v>
      </c>
      <c r="K14" s="35">
        <f t="shared" si="2"/>
        <v>25000</v>
      </c>
      <c r="L14" s="34" t="s">
        <v>162</v>
      </c>
      <c r="M14" s="34" t="s">
        <v>163</v>
      </c>
      <c r="N14" s="34" t="s">
        <v>164</v>
      </c>
      <c r="O14" s="35">
        <v>20</v>
      </c>
      <c r="P14" s="35">
        <v>36.549999999999997</v>
      </c>
      <c r="Q14" s="35">
        <v>241.2</v>
      </c>
      <c r="R14" s="35">
        <v>1447200</v>
      </c>
      <c r="S14" s="35">
        <v>700000</v>
      </c>
      <c r="T14" s="35">
        <f t="shared" si="3"/>
        <v>2147200</v>
      </c>
      <c r="U14" s="35">
        <v>750000</v>
      </c>
      <c r="V14" s="35">
        <f t="shared" si="4"/>
        <v>750000</v>
      </c>
      <c r="W14" s="35">
        <f t="shared" si="5"/>
        <v>1397200</v>
      </c>
      <c r="X14" s="37">
        <v>158931.82</v>
      </c>
      <c r="Y14" s="37">
        <v>44831.34</v>
      </c>
      <c r="Z14" s="37">
        <v>5114.92</v>
      </c>
      <c r="AA14" s="37">
        <v>371561.2</v>
      </c>
      <c r="AB14" s="37">
        <v>175000</v>
      </c>
      <c r="AC14" s="37">
        <f t="shared" si="6"/>
        <v>546561.19999999995</v>
      </c>
      <c r="AD14" s="37">
        <v>10432.01</v>
      </c>
      <c r="AE14" s="37">
        <v>59089.86</v>
      </c>
      <c r="AF14" s="37">
        <v>0</v>
      </c>
      <c r="AG14" s="37">
        <f t="shared" si="7"/>
        <v>69521.87</v>
      </c>
      <c r="AH14" s="35">
        <v>63731.13</v>
      </c>
      <c r="AI14" s="35">
        <f t="shared" si="8"/>
        <v>1460931.13</v>
      </c>
    </row>
    <row r="15" spans="1:35" s="32" customFormat="1" ht="28.8" x14ac:dyDescent="0.25">
      <c r="A15" s="38">
        <v>12</v>
      </c>
      <c r="B15" s="39" t="s">
        <v>175</v>
      </c>
      <c r="C15" s="40">
        <v>10.5</v>
      </c>
      <c r="D15" s="40">
        <v>28</v>
      </c>
      <c r="E15" s="40">
        <f t="shared" si="0"/>
        <v>2.6666666666666665</v>
      </c>
      <c r="F15" s="40">
        <f t="shared" si="1"/>
        <v>266.66666666666663</v>
      </c>
      <c r="G15" s="41">
        <v>21</v>
      </c>
      <c r="H15" s="39" t="s">
        <v>72</v>
      </c>
      <c r="I15" s="39" t="s">
        <v>160</v>
      </c>
      <c r="J15" s="39" t="s">
        <v>161</v>
      </c>
      <c r="K15" s="40">
        <f t="shared" si="2"/>
        <v>25000</v>
      </c>
      <c r="L15" s="39" t="s">
        <v>162</v>
      </c>
      <c r="M15" s="39" t="s">
        <v>163</v>
      </c>
      <c r="N15" s="39" t="s">
        <v>164</v>
      </c>
      <c r="O15" s="40">
        <v>20</v>
      </c>
      <c r="P15" s="40">
        <v>37.840000000000003</v>
      </c>
      <c r="Q15" s="40">
        <v>397.3</v>
      </c>
      <c r="R15" s="40">
        <v>2383800</v>
      </c>
      <c r="S15" s="40">
        <v>700000</v>
      </c>
      <c r="T15" s="40">
        <f t="shared" si="3"/>
        <v>3083800</v>
      </c>
      <c r="U15" s="40">
        <v>700000</v>
      </c>
      <c r="V15" s="40">
        <f t="shared" si="4"/>
        <v>700000</v>
      </c>
      <c r="W15" s="40">
        <f t="shared" si="5"/>
        <v>2383800</v>
      </c>
      <c r="X15" s="37">
        <v>135450</v>
      </c>
      <c r="Y15" s="37">
        <v>119764.24</v>
      </c>
      <c r="Z15" s="37">
        <v>11535.88</v>
      </c>
      <c r="AA15" s="37">
        <v>468654.76</v>
      </c>
      <c r="AB15" s="37">
        <v>175000</v>
      </c>
      <c r="AC15" s="37">
        <f t="shared" si="6"/>
        <v>643654.76</v>
      </c>
      <c r="AD15" s="37">
        <v>13956.46</v>
      </c>
      <c r="AE15" s="37">
        <v>104325.34</v>
      </c>
      <c r="AF15" s="37">
        <v>0</v>
      </c>
      <c r="AG15" s="37">
        <f t="shared" si="7"/>
        <v>118281.79999999999</v>
      </c>
      <c r="AH15" s="40">
        <v>79987.56</v>
      </c>
      <c r="AI15" s="40">
        <f t="shared" si="8"/>
        <v>2463787.56</v>
      </c>
    </row>
    <row r="16" spans="1:35" s="32" customFormat="1" ht="28.8" x14ac:dyDescent="0.25">
      <c r="A16" s="33">
        <v>13</v>
      </c>
      <c r="B16" s="34" t="s">
        <v>176</v>
      </c>
      <c r="C16" s="35">
        <v>4.8</v>
      </c>
      <c r="D16" s="35">
        <v>8</v>
      </c>
      <c r="E16" s="35">
        <f t="shared" si="0"/>
        <v>1.6666666666666667</v>
      </c>
      <c r="F16" s="35">
        <f t="shared" si="1"/>
        <v>166.66666666666669</v>
      </c>
      <c r="G16" s="36">
        <v>21</v>
      </c>
      <c r="H16" s="34" t="s">
        <v>72</v>
      </c>
      <c r="I16" s="34" t="s">
        <v>160</v>
      </c>
      <c r="J16" s="34" t="s">
        <v>161</v>
      </c>
      <c r="K16" s="35">
        <f t="shared" si="2"/>
        <v>25000</v>
      </c>
      <c r="L16" s="34" t="s">
        <v>162</v>
      </c>
      <c r="M16" s="34" t="s">
        <v>163</v>
      </c>
      <c r="N16" s="34" t="s">
        <v>164</v>
      </c>
      <c r="O16" s="35">
        <v>5</v>
      </c>
      <c r="P16" s="35">
        <v>37.08</v>
      </c>
      <c r="Q16" s="35">
        <v>178</v>
      </c>
      <c r="R16" s="35">
        <v>1068000</v>
      </c>
      <c r="S16" s="35">
        <v>175000</v>
      </c>
      <c r="T16" s="35">
        <f t="shared" si="3"/>
        <v>1243000</v>
      </c>
      <c r="U16" s="35">
        <v>200000</v>
      </c>
      <c r="V16" s="35">
        <f t="shared" si="4"/>
        <v>200000</v>
      </c>
      <c r="W16" s="35">
        <f t="shared" si="5"/>
        <v>1043000</v>
      </c>
      <c r="X16" s="37">
        <v>38700</v>
      </c>
      <c r="Y16" s="37">
        <v>74007.009999999995</v>
      </c>
      <c r="Z16" s="37">
        <v>6624.6</v>
      </c>
      <c r="AA16" s="37">
        <v>316868.45</v>
      </c>
      <c r="AB16" s="37">
        <v>175000</v>
      </c>
      <c r="AC16" s="37">
        <f t="shared" si="6"/>
        <v>491868.45</v>
      </c>
      <c r="AD16" s="37">
        <v>5625.77</v>
      </c>
      <c r="AE16" s="37">
        <v>50640.05</v>
      </c>
      <c r="AF16" s="37">
        <v>0</v>
      </c>
      <c r="AG16" s="37">
        <f t="shared" si="7"/>
        <v>56265.820000000007</v>
      </c>
      <c r="AH16" s="35">
        <v>26634.57</v>
      </c>
      <c r="AI16" s="35">
        <f t="shared" si="8"/>
        <v>1069634.57</v>
      </c>
    </row>
    <row r="17" spans="1:35" s="32" customFormat="1" ht="28.8" x14ac:dyDescent="0.25">
      <c r="A17" s="38">
        <v>14</v>
      </c>
      <c r="B17" s="39" t="s">
        <v>177</v>
      </c>
      <c r="C17" s="40">
        <v>4.5</v>
      </c>
      <c r="D17" s="40">
        <v>10</v>
      </c>
      <c r="E17" s="40">
        <f t="shared" si="0"/>
        <v>2.2222222222222223</v>
      </c>
      <c r="F17" s="40">
        <f t="shared" si="1"/>
        <v>222.22222222222223</v>
      </c>
      <c r="G17" s="41">
        <v>21</v>
      </c>
      <c r="H17" s="39" t="s">
        <v>80</v>
      </c>
      <c r="I17" s="39" t="s">
        <v>160</v>
      </c>
      <c r="J17" s="39" t="s">
        <v>161</v>
      </c>
      <c r="K17" s="40">
        <f t="shared" si="2"/>
        <v>25000</v>
      </c>
      <c r="L17" s="39" t="s">
        <v>162</v>
      </c>
      <c r="M17" s="39" t="s">
        <v>163</v>
      </c>
      <c r="N17" s="39" t="s">
        <v>178</v>
      </c>
      <c r="O17" s="40">
        <v>7</v>
      </c>
      <c r="P17" s="40">
        <v>37.840000000000003</v>
      </c>
      <c r="Q17" s="40">
        <v>170.3</v>
      </c>
      <c r="R17" s="40">
        <v>1021800</v>
      </c>
      <c r="S17" s="40">
        <v>245000</v>
      </c>
      <c r="T17" s="40">
        <f t="shared" si="3"/>
        <v>1266800</v>
      </c>
      <c r="U17" s="40">
        <v>250000</v>
      </c>
      <c r="V17" s="40">
        <f t="shared" si="4"/>
        <v>250000</v>
      </c>
      <c r="W17" s="40">
        <f t="shared" si="5"/>
        <v>1016800</v>
      </c>
      <c r="X17" s="37">
        <v>48375</v>
      </c>
      <c r="Y17" s="37">
        <v>58578.43</v>
      </c>
      <c r="Z17" s="37">
        <v>5452.65</v>
      </c>
      <c r="AA17" s="37">
        <v>306806.56</v>
      </c>
      <c r="AB17" s="37">
        <v>175000</v>
      </c>
      <c r="AC17" s="37">
        <f t="shared" si="6"/>
        <v>481806.56</v>
      </c>
      <c r="AD17" s="37">
        <v>5667.04</v>
      </c>
      <c r="AE17" s="37">
        <v>45939.39</v>
      </c>
      <c r="AF17" s="37">
        <v>0</v>
      </c>
      <c r="AG17" s="37">
        <f t="shared" si="7"/>
        <v>51606.43</v>
      </c>
      <c r="AH17" s="40">
        <v>30541.09</v>
      </c>
      <c r="AI17" s="40">
        <f t="shared" si="8"/>
        <v>1047341.09</v>
      </c>
    </row>
    <row r="18" spans="1:35" s="32" customFormat="1" ht="28.8" x14ac:dyDescent="0.25">
      <c r="A18" s="33">
        <v>15</v>
      </c>
      <c r="B18" s="34" t="s">
        <v>179</v>
      </c>
      <c r="C18" s="35">
        <v>5.0999999999999996</v>
      </c>
      <c r="D18" s="35">
        <v>10</v>
      </c>
      <c r="E18" s="35">
        <f t="shared" si="0"/>
        <v>1.9607843137254903</v>
      </c>
      <c r="F18" s="35">
        <f t="shared" si="1"/>
        <v>196.07843137254903</v>
      </c>
      <c r="G18" s="36">
        <v>21</v>
      </c>
      <c r="H18" s="34" t="s">
        <v>80</v>
      </c>
      <c r="I18" s="34" t="s">
        <v>160</v>
      </c>
      <c r="J18" s="34" t="s">
        <v>161</v>
      </c>
      <c r="K18" s="35">
        <f t="shared" si="2"/>
        <v>25000</v>
      </c>
      <c r="L18" s="34" t="s">
        <v>162</v>
      </c>
      <c r="M18" s="34" t="s">
        <v>163</v>
      </c>
      <c r="N18" s="34" t="s">
        <v>178</v>
      </c>
      <c r="O18" s="35">
        <v>7</v>
      </c>
      <c r="P18" s="35">
        <v>37.75</v>
      </c>
      <c r="Q18" s="35">
        <v>192.5</v>
      </c>
      <c r="R18" s="35">
        <v>1155000</v>
      </c>
      <c r="S18" s="35">
        <v>245000</v>
      </c>
      <c r="T18" s="35">
        <f t="shared" si="3"/>
        <v>1400000</v>
      </c>
      <c r="U18" s="35">
        <v>250000</v>
      </c>
      <c r="V18" s="35">
        <f t="shared" si="4"/>
        <v>250000</v>
      </c>
      <c r="W18" s="35">
        <f t="shared" si="5"/>
        <v>1150000</v>
      </c>
      <c r="X18" s="37">
        <v>48375</v>
      </c>
      <c r="Y18" s="37">
        <v>71854.81</v>
      </c>
      <c r="Z18" s="37">
        <v>6563.14</v>
      </c>
      <c r="AA18" s="37">
        <v>326620.53000000003</v>
      </c>
      <c r="AB18" s="37">
        <v>175000</v>
      </c>
      <c r="AC18" s="37">
        <f t="shared" si="6"/>
        <v>501620.53</v>
      </c>
      <c r="AD18" s="37">
        <v>6213.1</v>
      </c>
      <c r="AE18" s="37">
        <v>52883.66</v>
      </c>
      <c r="AF18" s="37">
        <v>0</v>
      </c>
      <c r="AG18" s="37">
        <f t="shared" si="7"/>
        <v>59096.76</v>
      </c>
      <c r="AH18" s="35">
        <v>31794.46</v>
      </c>
      <c r="AI18" s="35">
        <f t="shared" si="8"/>
        <v>1181794.46</v>
      </c>
    </row>
    <row r="19" spans="1:35" s="32" customFormat="1" ht="28.8" x14ac:dyDescent="0.25">
      <c r="A19" s="38">
        <v>16</v>
      </c>
      <c r="B19" s="39" t="s">
        <v>180</v>
      </c>
      <c r="C19" s="40">
        <v>3.2</v>
      </c>
      <c r="D19" s="40">
        <v>3</v>
      </c>
      <c r="E19" s="40">
        <f t="shared" si="0"/>
        <v>0.9375</v>
      </c>
      <c r="F19" s="40">
        <f t="shared" si="1"/>
        <v>93.75</v>
      </c>
      <c r="G19" s="41">
        <v>21</v>
      </c>
      <c r="H19" s="39" t="s">
        <v>72</v>
      </c>
      <c r="I19" s="39" t="s">
        <v>160</v>
      </c>
      <c r="J19" s="39" t="s">
        <v>161</v>
      </c>
      <c r="K19" s="40">
        <f t="shared" si="2"/>
        <v>25000</v>
      </c>
      <c r="L19" s="39" t="s">
        <v>162</v>
      </c>
      <c r="M19" s="39" t="s">
        <v>163</v>
      </c>
      <c r="N19" s="39" t="s">
        <v>164</v>
      </c>
      <c r="O19" s="40">
        <v>2</v>
      </c>
      <c r="P19" s="40">
        <v>35.42</v>
      </c>
      <c r="Q19" s="40">
        <v>113.3</v>
      </c>
      <c r="R19" s="40">
        <v>679800</v>
      </c>
      <c r="S19" s="40">
        <v>70000</v>
      </c>
      <c r="T19" s="40">
        <f t="shared" si="3"/>
        <v>749800</v>
      </c>
      <c r="U19" s="40">
        <v>75000</v>
      </c>
      <c r="V19" s="40">
        <f t="shared" si="4"/>
        <v>75000</v>
      </c>
      <c r="W19" s="40">
        <f t="shared" si="5"/>
        <v>674800</v>
      </c>
      <c r="X19" s="37">
        <v>14512.5</v>
      </c>
      <c r="Y19" s="37">
        <v>61977.26</v>
      </c>
      <c r="Z19" s="37">
        <v>5303.12</v>
      </c>
      <c r="AA19" s="37">
        <v>258722.01</v>
      </c>
      <c r="AB19" s="37">
        <v>175000</v>
      </c>
      <c r="AC19" s="37">
        <f t="shared" si="6"/>
        <v>433722.01</v>
      </c>
      <c r="AD19" s="37">
        <v>3383.82</v>
      </c>
      <c r="AE19" s="37">
        <v>35193.32</v>
      </c>
      <c r="AF19" s="37">
        <v>0</v>
      </c>
      <c r="AG19" s="37">
        <f t="shared" si="7"/>
        <v>38577.14</v>
      </c>
      <c r="AH19" s="40">
        <v>11238.31</v>
      </c>
      <c r="AI19" s="40">
        <f t="shared" si="8"/>
        <v>686038.31</v>
      </c>
    </row>
    <row r="20" spans="1:35" s="32" customFormat="1" ht="28.8" x14ac:dyDescent="0.25">
      <c r="A20" s="33">
        <v>17</v>
      </c>
      <c r="B20" s="34" t="s">
        <v>181</v>
      </c>
      <c r="C20" s="35">
        <v>14.41</v>
      </c>
      <c r="D20" s="35">
        <v>30</v>
      </c>
      <c r="E20" s="35">
        <f t="shared" si="0"/>
        <v>2.0818875780707842</v>
      </c>
      <c r="F20" s="35">
        <f t="shared" si="1"/>
        <v>208.18875780707842</v>
      </c>
      <c r="G20" s="36">
        <v>21</v>
      </c>
      <c r="H20" s="34" t="s">
        <v>72</v>
      </c>
      <c r="I20" s="34" t="s">
        <v>160</v>
      </c>
      <c r="J20" s="34" t="s">
        <v>161</v>
      </c>
      <c r="K20" s="35">
        <f t="shared" si="2"/>
        <v>25000</v>
      </c>
      <c r="L20" s="34" t="s">
        <v>162</v>
      </c>
      <c r="M20" s="34" t="s">
        <v>163</v>
      </c>
      <c r="N20" s="34" t="s">
        <v>164</v>
      </c>
      <c r="O20" s="35">
        <v>21</v>
      </c>
      <c r="P20" s="35">
        <v>37.840000000000003</v>
      </c>
      <c r="Q20" s="35">
        <v>545.29999999999995</v>
      </c>
      <c r="R20" s="35">
        <v>3271800</v>
      </c>
      <c r="S20" s="35">
        <v>735000</v>
      </c>
      <c r="T20" s="35">
        <f t="shared" si="3"/>
        <v>4006800</v>
      </c>
      <c r="U20" s="35">
        <v>750000</v>
      </c>
      <c r="V20" s="35">
        <f t="shared" si="4"/>
        <v>750000</v>
      </c>
      <c r="W20" s="35">
        <f t="shared" si="5"/>
        <v>3256800</v>
      </c>
      <c r="X20" s="37">
        <v>145125</v>
      </c>
      <c r="Y20" s="37">
        <v>195695.28</v>
      </c>
      <c r="Z20" s="37">
        <v>18029.849999999999</v>
      </c>
      <c r="AA20" s="37">
        <v>549022.80000000005</v>
      </c>
      <c r="AB20" s="37">
        <v>175000</v>
      </c>
      <c r="AC20" s="37">
        <f t="shared" si="6"/>
        <v>724022.8</v>
      </c>
      <c r="AD20" s="37">
        <v>17829.310000000001</v>
      </c>
      <c r="AE20" s="37">
        <v>148350.32</v>
      </c>
      <c r="AF20" s="37">
        <v>0</v>
      </c>
      <c r="AG20" s="37">
        <f t="shared" si="7"/>
        <v>166179.63</v>
      </c>
      <c r="AH20" s="35">
        <v>93614.91</v>
      </c>
      <c r="AI20" s="35">
        <f t="shared" si="8"/>
        <v>3350414.91</v>
      </c>
    </row>
    <row r="21" spans="1:35" s="32" customFormat="1" ht="28.8" x14ac:dyDescent="0.25">
      <c r="A21" s="38">
        <v>18</v>
      </c>
      <c r="B21" s="39" t="s">
        <v>182</v>
      </c>
      <c r="C21" s="40">
        <v>5.5</v>
      </c>
      <c r="D21" s="40">
        <v>50</v>
      </c>
      <c r="E21" s="40">
        <f t="shared" si="0"/>
        <v>9.0909090909090917</v>
      </c>
      <c r="F21" s="40">
        <f t="shared" si="1"/>
        <v>909.09090909090912</v>
      </c>
      <c r="G21" s="41">
        <v>21</v>
      </c>
      <c r="H21" s="39" t="s">
        <v>72</v>
      </c>
      <c r="I21" s="39" t="s">
        <v>160</v>
      </c>
      <c r="J21" s="39" t="s">
        <v>161</v>
      </c>
      <c r="K21" s="40">
        <f t="shared" si="2"/>
        <v>25000</v>
      </c>
      <c r="L21" s="39" t="s">
        <v>162</v>
      </c>
      <c r="M21" s="39" t="s">
        <v>163</v>
      </c>
      <c r="N21" s="39" t="s">
        <v>164</v>
      </c>
      <c r="O21" s="40">
        <v>19</v>
      </c>
      <c r="P21" s="40">
        <v>28.38</v>
      </c>
      <c r="Q21" s="40">
        <v>156.1</v>
      </c>
      <c r="R21" s="40">
        <v>936600</v>
      </c>
      <c r="S21" s="40">
        <v>665000</v>
      </c>
      <c r="T21" s="40">
        <f t="shared" si="3"/>
        <v>1601600</v>
      </c>
      <c r="U21" s="40">
        <v>1250000</v>
      </c>
      <c r="V21" s="40">
        <f t="shared" si="4"/>
        <v>1250000</v>
      </c>
      <c r="W21" s="40">
        <f t="shared" si="5"/>
        <v>351600</v>
      </c>
      <c r="X21" s="37">
        <v>410625</v>
      </c>
      <c r="Y21" s="37">
        <v>15636.75</v>
      </c>
      <c r="Z21" s="37">
        <v>2738.45</v>
      </c>
      <c r="AA21" s="37">
        <v>339187.42</v>
      </c>
      <c r="AB21" s="37">
        <v>175000</v>
      </c>
      <c r="AC21" s="37">
        <f t="shared" si="6"/>
        <v>514187.42</v>
      </c>
      <c r="AD21" s="37">
        <v>9327.31</v>
      </c>
      <c r="AE21" s="37">
        <v>46763.55</v>
      </c>
      <c r="AF21" s="37">
        <v>0</v>
      </c>
      <c r="AG21" s="37">
        <f t="shared" si="7"/>
        <v>56090.86</v>
      </c>
      <c r="AH21" s="40">
        <v>49639.59</v>
      </c>
      <c r="AI21" s="40">
        <f t="shared" si="8"/>
        <v>401239.58999999997</v>
      </c>
    </row>
    <row r="22" spans="1:35" s="32" customFormat="1" ht="28.8" x14ac:dyDescent="0.25">
      <c r="A22" s="33">
        <v>19</v>
      </c>
      <c r="B22" s="34" t="s">
        <v>183</v>
      </c>
      <c r="C22" s="35">
        <v>6.35</v>
      </c>
      <c r="D22" s="35">
        <v>20</v>
      </c>
      <c r="E22" s="35">
        <f t="shared" si="0"/>
        <v>3.1496062992125986</v>
      </c>
      <c r="F22" s="35">
        <f t="shared" si="1"/>
        <v>314.96062992125985</v>
      </c>
      <c r="G22" s="36">
        <v>21</v>
      </c>
      <c r="H22" s="34" t="s">
        <v>72</v>
      </c>
      <c r="I22" s="34" t="s">
        <v>160</v>
      </c>
      <c r="J22" s="34" t="s">
        <v>184</v>
      </c>
      <c r="K22" s="35">
        <f t="shared" si="2"/>
        <v>25000</v>
      </c>
      <c r="L22" s="34" t="s">
        <v>185</v>
      </c>
      <c r="M22" s="34" t="s">
        <v>186</v>
      </c>
      <c r="N22" s="34" t="s">
        <v>187</v>
      </c>
      <c r="O22" s="35">
        <v>14</v>
      </c>
      <c r="P22" s="35">
        <v>37.840000000000003</v>
      </c>
      <c r="Q22" s="35">
        <v>240.3</v>
      </c>
      <c r="R22" s="35">
        <v>1441800</v>
      </c>
      <c r="S22" s="35">
        <v>490000</v>
      </c>
      <c r="T22" s="35">
        <f t="shared" si="3"/>
        <v>1931800</v>
      </c>
      <c r="U22" s="35">
        <v>500000</v>
      </c>
      <c r="V22" s="35">
        <f t="shared" si="4"/>
        <v>500000</v>
      </c>
      <c r="W22" s="35">
        <f t="shared" si="5"/>
        <v>1431800</v>
      </c>
      <c r="X22" s="37">
        <v>96750</v>
      </c>
      <c r="Y22" s="37">
        <v>62974.64</v>
      </c>
      <c r="Z22" s="37">
        <v>6313.19</v>
      </c>
      <c r="AA22" s="37">
        <v>364456.12</v>
      </c>
      <c r="AB22" s="37">
        <v>175000</v>
      </c>
      <c r="AC22" s="37">
        <f t="shared" si="6"/>
        <v>539456.12</v>
      </c>
      <c r="AD22" s="37">
        <v>8922.27</v>
      </c>
      <c r="AE22" s="37">
        <v>61208.25</v>
      </c>
      <c r="AF22" s="37">
        <v>0</v>
      </c>
      <c r="AG22" s="37">
        <f t="shared" si="7"/>
        <v>70130.52</v>
      </c>
      <c r="AH22" s="35">
        <v>53248.97</v>
      </c>
      <c r="AI22" s="35">
        <f t="shared" si="8"/>
        <v>1485048.97</v>
      </c>
    </row>
    <row r="23" spans="1:35" s="32" customFormat="1" ht="28.8" x14ac:dyDescent="0.25">
      <c r="A23" s="38">
        <v>20</v>
      </c>
      <c r="B23" s="39" t="s">
        <v>188</v>
      </c>
      <c r="C23" s="40">
        <v>10.210000000000001</v>
      </c>
      <c r="D23" s="40">
        <v>32</v>
      </c>
      <c r="E23" s="40">
        <f t="shared" si="0"/>
        <v>3.1341821743388834</v>
      </c>
      <c r="F23" s="40">
        <f t="shared" si="1"/>
        <v>313.41821743388834</v>
      </c>
      <c r="G23" s="41">
        <v>21</v>
      </c>
      <c r="H23" s="39" t="s">
        <v>72</v>
      </c>
      <c r="I23" s="39" t="s">
        <v>160</v>
      </c>
      <c r="J23" s="39" t="s">
        <v>189</v>
      </c>
      <c r="K23" s="40">
        <f t="shared" si="2"/>
        <v>25000</v>
      </c>
      <c r="L23" s="39" t="s">
        <v>190</v>
      </c>
      <c r="M23" s="39" t="s">
        <v>191</v>
      </c>
      <c r="N23" s="39" t="s">
        <v>192</v>
      </c>
      <c r="O23" s="40">
        <v>23</v>
      </c>
      <c r="P23" s="40">
        <v>37.840000000000003</v>
      </c>
      <c r="Q23" s="40">
        <v>386.3</v>
      </c>
      <c r="R23" s="40">
        <v>2317800</v>
      </c>
      <c r="S23" s="40">
        <v>805000</v>
      </c>
      <c r="T23" s="40">
        <f t="shared" si="3"/>
        <v>3122800</v>
      </c>
      <c r="U23" s="40">
        <v>800000</v>
      </c>
      <c r="V23" s="40">
        <f t="shared" si="4"/>
        <v>800000</v>
      </c>
      <c r="W23" s="40">
        <f t="shared" si="5"/>
        <v>2322800</v>
      </c>
      <c r="X23" s="37">
        <v>154800</v>
      </c>
      <c r="Y23" s="37">
        <v>101702.11</v>
      </c>
      <c r="Z23" s="37">
        <v>10182.15</v>
      </c>
      <c r="AA23" s="37">
        <v>462137.55</v>
      </c>
      <c r="AB23" s="37">
        <v>175000</v>
      </c>
      <c r="AC23" s="37">
        <f t="shared" si="6"/>
        <v>637137.55000000005</v>
      </c>
      <c r="AD23" s="37">
        <v>14321.13</v>
      </c>
      <c r="AE23" s="37">
        <v>98511.89</v>
      </c>
      <c r="AF23" s="37">
        <v>0</v>
      </c>
      <c r="AG23" s="37">
        <f t="shared" si="7"/>
        <v>112833.02</v>
      </c>
      <c r="AH23" s="40">
        <v>85387.199999999997</v>
      </c>
      <c r="AI23" s="40">
        <f t="shared" si="8"/>
        <v>2408187.2000000002</v>
      </c>
    </row>
    <row r="24" spans="1:35" s="32" customFormat="1" ht="28.8" x14ac:dyDescent="0.25">
      <c r="A24" s="33">
        <v>21</v>
      </c>
      <c r="B24" s="34" t="s">
        <v>193</v>
      </c>
      <c r="C24" s="35">
        <v>6.6</v>
      </c>
      <c r="D24" s="35">
        <v>19</v>
      </c>
      <c r="E24" s="35">
        <f t="shared" si="0"/>
        <v>2.8787878787878789</v>
      </c>
      <c r="F24" s="35">
        <f t="shared" si="1"/>
        <v>287.87878787878788</v>
      </c>
      <c r="G24" s="36">
        <v>21</v>
      </c>
      <c r="H24" s="34" t="s">
        <v>80</v>
      </c>
      <c r="I24" s="34" t="s">
        <v>94</v>
      </c>
      <c r="J24" s="34" t="s">
        <v>194</v>
      </c>
      <c r="K24" s="35">
        <f t="shared" si="2"/>
        <v>25000</v>
      </c>
      <c r="L24" s="34" t="s">
        <v>195</v>
      </c>
      <c r="M24" s="34" t="s">
        <v>196</v>
      </c>
      <c r="N24" s="34" t="s">
        <v>197</v>
      </c>
      <c r="O24" s="35">
        <v>13</v>
      </c>
      <c r="P24" s="35">
        <v>45.82</v>
      </c>
      <c r="Q24" s="35">
        <v>302.39999999999998</v>
      </c>
      <c r="R24" s="35">
        <v>1814400</v>
      </c>
      <c r="S24" s="35">
        <v>455000</v>
      </c>
      <c r="T24" s="35">
        <f t="shared" si="3"/>
        <v>2269400</v>
      </c>
      <c r="U24" s="35">
        <v>475000</v>
      </c>
      <c r="V24" s="35">
        <f t="shared" si="4"/>
        <v>475000</v>
      </c>
      <c r="W24" s="35">
        <f t="shared" si="5"/>
        <v>1794400</v>
      </c>
      <c r="X24" s="37">
        <v>91912.5</v>
      </c>
      <c r="Y24" s="37">
        <v>70759.19</v>
      </c>
      <c r="Z24" s="37">
        <v>6933.93</v>
      </c>
      <c r="AA24" s="37">
        <v>371561.2</v>
      </c>
      <c r="AB24" s="37">
        <v>175000</v>
      </c>
      <c r="AC24" s="37">
        <f t="shared" si="6"/>
        <v>546561.19999999995</v>
      </c>
      <c r="AD24" s="37">
        <v>8992.64</v>
      </c>
      <c r="AE24" s="37">
        <v>64715.96</v>
      </c>
      <c r="AF24" s="37">
        <v>0</v>
      </c>
      <c r="AG24" s="37">
        <f t="shared" si="7"/>
        <v>73708.600000000006</v>
      </c>
      <c r="AH24" s="35">
        <v>52609.47</v>
      </c>
      <c r="AI24" s="35">
        <f t="shared" si="8"/>
        <v>1847009.47</v>
      </c>
    </row>
    <row r="25" spans="1:35" s="32" customFormat="1" ht="28.8" x14ac:dyDescent="0.25">
      <c r="A25" s="38">
        <v>22</v>
      </c>
      <c r="B25" s="39" t="s">
        <v>198</v>
      </c>
      <c r="C25" s="40">
        <v>4.8</v>
      </c>
      <c r="D25" s="40">
        <v>9</v>
      </c>
      <c r="E25" s="40">
        <f t="shared" si="0"/>
        <v>1.875</v>
      </c>
      <c r="F25" s="40">
        <f t="shared" si="1"/>
        <v>187.5</v>
      </c>
      <c r="G25" s="41">
        <v>21</v>
      </c>
      <c r="H25" s="39" t="s">
        <v>72</v>
      </c>
      <c r="I25" s="39" t="s">
        <v>94</v>
      </c>
      <c r="J25" s="39" t="s">
        <v>199</v>
      </c>
      <c r="K25" s="40">
        <f t="shared" si="2"/>
        <v>25000</v>
      </c>
      <c r="L25" s="39" t="s">
        <v>200</v>
      </c>
      <c r="M25" s="39" t="s">
        <v>201</v>
      </c>
      <c r="N25" s="39" t="s">
        <v>202</v>
      </c>
      <c r="O25" s="40">
        <v>6</v>
      </c>
      <c r="P25" s="40">
        <v>45.48</v>
      </c>
      <c r="Q25" s="40">
        <v>218.3</v>
      </c>
      <c r="R25" s="40">
        <v>1309800</v>
      </c>
      <c r="S25" s="40">
        <v>210000</v>
      </c>
      <c r="T25" s="40">
        <f t="shared" si="3"/>
        <v>1519800</v>
      </c>
      <c r="U25" s="40">
        <v>225000</v>
      </c>
      <c r="V25" s="40">
        <f t="shared" si="4"/>
        <v>225000</v>
      </c>
      <c r="W25" s="40">
        <f t="shared" si="5"/>
        <v>1294800</v>
      </c>
      <c r="X25" s="37">
        <v>43537.5</v>
      </c>
      <c r="Y25" s="37">
        <v>69421.25</v>
      </c>
      <c r="Z25" s="37">
        <v>6302.87</v>
      </c>
      <c r="AA25" s="37">
        <v>316868.45</v>
      </c>
      <c r="AB25" s="37">
        <v>175000</v>
      </c>
      <c r="AC25" s="37">
        <f t="shared" si="6"/>
        <v>491868.45</v>
      </c>
      <c r="AD25" s="37">
        <v>5782.92</v>
      </c>
      <c r="AE25" s="37">
        <v>50025.79</v>
      </c>
      <c r="AF25" s="37">
        <v>0</v>
      </c>
      <c r="AG25" s="37">
        <f t="shared" si="7"/>
        <v>55808.71</v>
      </c>
      <c r="AH25" s="40">
        <v>28999.45</v>
      </c>
      <c r="AI25" s="40">
        <f t="shared" si="8"/>
        <v>1323799.45</v>
      </c>
    </row>
    <row r="26" spans="1:35" s="32" customFormat="1" ht="28.8" x14ac:dyDescent="0.25">
      <c r="A26" s="33">
        <v>23</v>
      </c>
      <c r="B26" s="34" t="s">
        <v>203</v>
      </c>
      <c r="C26" s="35">
        <v>10</v>
      </c>
      <c r="D26" s="35">
        <v>32</v>
      </c>
      <c r="E26" s="35">
        <f t="shared" si="0"/>
        <v>3.2</v>
      </c>
      <c r="F26" s="35">
        <f t="shared" si="1"/>
        <v>320</v>
      </c>
      <c r="G26" s="36">
        <v>21</v>
      </c>
      <c r="H26" s="34" t="s">
        <v>72</v>
      </c>
      <c r="I26" s="34" t="s">
        <v>160</v>
      </c>
      <c r="J26" s="34" t="s">
        <v>204</v>
      </c>
      <c r="K26" s="35">
        <f t="shared" si="2"/>
        <v>25000</v>
      </c>
      <c r="L26" s="34" t="s">
        <v>205</v>
      </c>
      <c r="M26" s="34" t="s">
        <v>206</v>
      </c>
      <c r="N26" s="34" t="s">
        <v>207</v>
      </c>
      <c r="O26" s="35">
        <v>23</v>
      </c>
      <c r="P26" s="35">
        <v>37.840000000000003</v>
      </c>
      <c r="Q26" s="35">
        <v>378.4</v>
      </c>
      <c r="R26" s="35">
        <v>2270400</v>
      </c>
      <c r="S26" s="35">
        <v>805000</v>
      </c>
      <c r="T26" s="35">
        <f t="shared" si="3"/>
        <v>3075400</v>
      </c>
      <c r="U26" s="35">
        <v>800000</v>
      </c>
      <c r="V26" s="35">
        <f t="shared" si="4"/>
        <v>800000</v>
      </c>
      <c r="W26" s="35">
        <f t="shared" si="5"/>
        <v>2275400</v>
      </c>
      <c r="X26" s="37">
        <v>154800</v>
      </c>
      <c r="Y26" s="37">
        <v>97759.18</v>
      </c>
      <c r="Z26" s="37">
        <v>9842.86</v>
      </c>
      <c r="AA26" s="37">
        <v>457360.22</v>
      </c>
      <c r="AB26" s="37">
        <v>175000</v>
      </c>
      <c r="AC26" s="37">
        <f t="shared" si="6"/>
        <v>632360.22</v>
      </c>
      <c r="AD26" s="37">
        <v>14130.01</v>
      </c>
      <c r="AE26" s="37">
        <v>96081.39</v>
      </c>
      <c r="AF26" s="37">
        <v>0</v>
      </c>
      <c r="AG26" s="37">
        <f t="shared" si="7"/>
        <v>110211.4</v>
      </c>
      <c r="AH26" s="35">
        <v>84585.57</v>
      </c>
      <c r="AI26" s="35">
        <f t="shared" si="8"/>
        <v>2359985.5699999998</v>
      </c>
    </row>
    <row r="27" spans="1:35" s="32" customFormat="1" ht="28.8" x14ac:dyDescent="0.25">
      <c r="A27" s="38">
        <v>24</v>
      </c>
      <c r="B27" s="39" t="s">
        <v>208</v>
      </c>
      <c r="C27" s="40">
        <v>5.5</v>
      </c>
      <c r="D27" s="40">
        <v>18</v>
      </c>
      <c r="E27" s="40">
        <f t="shared" si="0"/>
        <v>3.2727272727272729</v>
      </c>
      <c r="F27" s="40">
        <f t="shared" si="1"/>
        <v>327.27272727272731</v>
      </c>
      <c r="G27" s="41">
        <v>21</v>
      </c>
      <c r="H27" s="39" t="s">
        <v>72</v>
      </c>
      <c r="I27" s="39" t="s">
        <v>160</v>
      </c>
      <c r="J27" s="39" t="s">
        <v>189</v>
      </c>
      <c r="K27" s="40">
        <f t="shared" si="2"/>
        <v>25000</v>
      </c>
      <c r="L27" s="39" t="s">
        <v>190</v>
      </c>
      <c r="M27" s="39" t="s">
        <v>191</v>
      </c>
      <c r="N27" s="39" t="s">
        <v>192</v>
      </c>
      <c r="O27" s="40">
        <v>13</v>
      </c>
      <c r="P27" s="40">
        <v>37.840000000000003</v>
      </c>
      <c r="Q27" s="40">
        <v>208.1</v>
      </c>
      <c r="R27" s="40">
        <v>1248600</v>
      </c>
      <c r="S27" s="40">
        <v>455000</v>
      </c>
      <c r="T27" s="40">
        <f t="shared" si="3"/>
        <v>1703600</v>
      </c>
      <c r="U27" s="40">
        <v>450000</v>
      </c>
      <c r="V27" s="40">
        <f t="shared" si="4"/>
        <v>450000</v>
      </c>
      <c r="W27" s="40">
        <f t="shared" si="5"/>
        <v>1253600</v>
      </c>
      <c r="X27" s="37">
        <v>87075</v>
      </c>
      <c r="Y27" s="37">
        <v>52669.5</v>
      </c>
      <c r="Z27" s="37">
        <v>5336.54</v>
      </c>
      <c r="AA27" s="37">
        <v>339187.42</v>
      </c>
      <c r="AB27" s="37">
        <v>175000</v>
      </c>
      <c r="AC27" s="37">
        <f t="shared" si="6"/>
        <v>514187.42</v>
      </c>
      <c r="AD27" s="37">
        <v>7834.37</v>
      </c>
      <c r="AE27" s="37">
        <v>52599.06</v>
      </c>
      <c r="AF27" s="37">
        <v>0</v>
      </c>
      <c r="AG27" s="37">
        <f t="shared" si="7"/>
        <v>60433.43</v>
      </c>
      <c r="AH27" s="40">
        <v>47088.33</v>
      </c>
      <c r="AI27" s="40">
        <f t="shared" si="8"/>
        <v>1300688.33</v>
      </c>
    </row>
    <row r="28" spans="1:35" s="32" customFormat="1" ht="28.8" x14ac:dyDescent="0.25">
      <c r="A28" s="33">
        <v>25</v>
      </c>
      <c r="B28" s="34" t="s">
        <v>209</v>
      </c>
      <c r="C28" s="35">
        <v>6.35</v>
      </c>
      <c r="D28" s="35">
        <v>5</v>
      </c>
      <c r="E28" s="35">
        <f t="shared" si="0"/>
        <v>0.78740157480314965</v>
      </c>
      <c r="F28" s="35">
        <f t="shared" si="1"/>
        <v>78.740157480314963</v>
      </c>
      <c r="G28" s="36">
        <v>21</v>
      </c>
      <c r="H28" s="34" t="s">
        <v>80</v>
      </c>
      <c r="I28" s="34" t="s">
        <v>94</v>
      </c>
      <c r="J28" s="34" t="s">
        <v>210</v>
      </c>
      <c r="K28" s="35">
        <f t="shared" si="2"/>
        <v>25000</v>
      </c>
      <c r="L28" s="34" t="s">
        <v>192</v>
      </c>
      <c r="M28" s="34" t="s">
        <v>211</v>
      </c>
      <c r="N28" s="34" t="s">
        <v>212</v>
      </c>
      <c r="O28" s="35">
        <v>3</v>
      </c>
      <c r="P28" s="35">
        <v>42.49</v>
      </c>
      <c r="Q28" s="35">
        <v>269.8</v>
      </c>
      <c r="R28" s="35">
        <v>1618800</v>
      </c>
      <c r="S28" s="35">
        <v>105000</v>
      </c>
      <c r="T28" s="35">
        <f t="shared" si="3"/>
        <v>1723800</v>
      </c>
      <c r="U28" s="35">
        <v>125000</v>
      </c>
      <c r="V28" s="35">
        <f t="shared" si="4"/>
        <v>125000</v>
      </c>
      <c r="W28" s="35">
        <f t="shared" si="5"/>
        <v>1598800</v>
      </c>
      <c r="X28" s="37">
        <v>24187.5</v>
      </c>
      <c r="Y28" s="37">
        <v>128992.22</v>
      </c>
      <c r="Z28" s="37">
        <v>10944.75</v>
      </c>
      <c r="AA28" s="37">
        <v>364456.12</v>
      </c>
      <c r="AB28" s="37">
        <v>175000</v>
      </c>
      <c r="AC28" s="37">
        <f t="shared" si="6"/>
        <v>539456.12</v>
      </c>
      <c r="AD28" s="37">
        <v>6564.99</v>
      </c>
      <c r="AE28" s="37">
        <v>70422.22</v>
      </c>
      <c r="AF28" s="37">
        <v>0</v>
      </c>
      <c r="AG28" s="37">
        <f t="shared" si="7"/>
        <v>76987.210000000006</v>
      </c>
      <c r="AH28" s="35">
        <v>19203.68</v>
      </c>
      <c r="AI28" s="35">
        <f t="shared" si="8"/>
        <v>1618003.68</v>
      </c>
    </row>
    <row r="29" spans="1:35" s="32" customFormat="1" ht="28.8" x14ac:dyDescent="0.25">
      <c r="A29" s="38">
        <v>26</v>
      </c>
      <c r="B29" s="39" t="s">
        <v>213</v>
      </c>
      <c r="C29" s="40">
        <v>3.6</v>
      </c>
      <c r="D29" s="40">
        <v>15</v>
      </c>
      <c r="E29" s="40">
        <f t="shared" si="0"/>
        <v>4.166666666666667</v>
      </c>
      <c r="F29" s="40">
        <f t="shared" si="1"/>
        <v>416.66666666666669</v>
      </c>
      <c r="G29" s="41">
        <v>21</v>
      </c>
      <c r="H29" s="39" t="s">
        <v>72</v>
      </c>
      <c r="I29" s="39" t="s">
        <v>160</v>
      </c>
      <c r="J29" s="39" t="s">
        <v>214</v>
      </c>
      <c r="K29" s="40">
        <f t="shared" si="2"/>
        <v>25000</v>
      </c>
      <c r="L29" s="39" t="s">
        <v>215</v>
      </c>
      <c r="M29" s="39" t="s">
        <v>216</v>
      </c>
      <c r="N29" s="39" t="s">
        <v>217</v>
      </c>
      <c r="O29" s="40">
        <v>10</v>
      </c>
      <c r="P29" s="40">
        <v>37.44</v>
      </c>
      <c r="Q29" s="40">
        <v>134.80000000000001</v>
      </c>
      <c r="R29" s="40">
        <v>808800</v>
      </c>
      <c r="S29" s="40">
        <v>350000</v>
      </c>
      <c r="T29" s="40">
        <f t="shared" si="3"/>
        <v>1158800</v>
      </c>
      <c r="U29" s="40">
        <v>375000</v>
      </c>
      <c r="V29" s="40">
        <f t="shared" si="4"/>
        <v>375000</v>
      </c>
      <c r="W29" s="40">
        <f t="shared" si="5"/>
        <v>783800</v>
      </c>
      <c r="X29" s="37">
        <v>74671.88</v>
      </c>
      <c r="Y29" s="37">
        <v>26984.91</v>
      </c>
      <c r="Z29" s="37">
        <v>2967.56</v>
      </c>
      <c r="AA29" s="37">
        <v>274416.13</v>
      </c>
      <c r="AB29" s="37">
        <v>175000</v>
      </c>
      <c r="AC29" s="37">
        <f t="shared" si="6"/>
        <v>449416.13</v>
      </c>
      <c r="AD29" s="37">
        <v>5589.49</v>
      </c>
      <c r="AE29" s="37">
        <v>32624.42</v>
      </c>
      <c r="AF29" s="37">
        <v>0</v>
      </c>
      <c r="AG29" s="37">
        <f t="shared" si="7"/>
        <v>38213.909999999996</v>
      </c>
      <c r="AH29" s="40">
        <v>34322.589999999997</v>
      </c>
      <c r="AI29" s="40">
        <f t="shared" si="8"/>
        <v>818122.59</v>
      </c>
    </row>
    <row r="30" spans="1:35" s="32" customFormat="1" ht="28.8" x14ac:dyDescent="0.25">
      <c r="A30" s="33">
        <v>27</v>
      </c>
      <c r="B30" s="34" t="s">
        <v>218</v>
      </c>
      <c r="C30" s="35">
        <v>10</v>
      </c>
      <c r="D30" s="35">
        <v>29</v>
      </c>
      <c r="E30" s="35">
        <f t="shared" si="0"/>
        <v>2.9</v>
      </c>
      <c r="F30" s="35">
        <f t="shared" si="1"/>
        <v>290</v>
      </c>
      <c r="G30" s="36">
        <v>21</v>
      </c>
      <c r="H30" s="34" t="s">
        <v>80</v>
      </c>
      <c r="I30" s="34" t="s">
        <v>94</v>
      </c>
      <c r="J30" s="34" t="s">
        <v>219</v>
      </c>
      <c r="K30" s="35">
        <f t="shared" si="2"/>
        <v>25000</v>
      </c>
      <c r="L30" s="34" t="s">
        <v>220</v>
      </c>
      <c r="M30" s="34" t="s">
        <v>221</v>
      </c>
      <c r="N30" s="34" t="s">
        <v>222</v>
      </c>
      <c r="O30" s="35">
        <v>20</v>
      </c>
      <c r="P30" s="35">
        <v>45.82</v>
      </c>
      <c r="Q30" s="35">
        <v>458.2</v>
      </c>
      <c r="R30" s="35">
        <v>2749200</v>
      </c>
      <c r="S30" s="35">
        <v>700000</v>
      </c>
      <c r="T30" s="35">
        <f t="shared" si="3"/>
        <v>3449200</v>
      </c>
      <c r="U30" s="35">
        <v>725000</v>
      </c>
      <c r="V30" s="35">
        <f t="shared" si="4"/>
        <v>725000</v>
      </c>
      <c r="W30" s="35">
        <f t="shared" si="5"/>
        <v>2724200</v>
      </c>
      <c r="X30" s="37">
        <v>140287.5</v>
      </c>
      <c r="Y30" s="37">
        <v>106553.43</v>
      </c>
      <c r="Z30" s="37">
        <v>10459.83</v>
      </c>
      <c r="AA30" s="37">
        <v>457360.22</v>
      </c>
      <c r="AB30" s="37">
        <v>175000</v>
      </c>
      <c r="AC30" s="37">
        <f t="shared" si="6"/>
        <v>632360.22</v>
      </c>
      <c r="AD30" s="37">
        <v>13658.55</v>
      </c>
      <c r="AE30" s="37">
        <v>97924.19</v>
      </c>
      <c r="AF30" s="37">
        <v>0</v>
      </c>
      <c r="AG30" s="37">
        <f t="shared" si="7"/>
        <v>111582.74</v>
      </c>
      <c r="AH30" s="35">
        <v>80050.37</v>
      </c>
      <c r="AI30" s="35">
        <f t="shared" si="8"/>
        <v>2804250.37</v>
      </c>
    </row>
    <row r="31" spans="1:35" s="32" customFormat="1" ht="28.8" x14ac:dyDescent="0.25">
      <c r="A31" s="38">
        <v>28</v>
      </c>
      <c r="B31" s="39" t="s">
        <v>223</v>
      </c>
      <c r="C31" s="40">
        <v>4.5</v>
      </c>
      <c r="D31" s="40">
        <v>9</v>
      </c>
      <c r="E31" s="40">
        <f t="shared" si="0"/>
        <v>2</v>
      </c>
      <c r="F31" s="40">
        <f t="shared" si="1"/>
        <v>200</v>
      </c>
      <c r="G31" s="41">
        <v>21</v>
      </c>
      <c r="H31" s="39" t="s">
        <v>72</v>
      </c>
      <c r="I31" s="39" t="s">
        <v>160</v>
      </c>
      <c r="J31" s="39" t="s">
        <v>161</v>
      </c>
      <c r="K31" s="40">
        <f t="shared" si="2"/>
        <v>25000</v>
      </c>
      <c r="L31" s="39" t="s">
        <v>162</v>
      </c>
      <c r="M31" s="39" t="s">
        <v>163</v>
      </c>
      <c r="N31" s="39" t="s">
        <v>164</v>
      </c>
      <c r="O31" s="40">
        <v>6</v>
      </c>
      <c r="P31" s="40">
        <v>37.840000000000003</v>
      </c>
      <c r="Q31" s="40">
        <v>170.3</v>
      </c>
      <c r="R31" s="40">
        <v>1021800</v>
      </c>
      <c r="S31" s="40">
        <v>210000</v>
      </c>
      <c r="T31" s="40">
        <f t="shared" si="3"/>
        <v>1231800</v>
      </c>
      <c r="U31" s="40">
        <v>225000</v>
      </c>
      <c r="V31" s="40">
        <f t="shared" si="4"/>
        <v>225000</v>
      </c>
      <c r="W31" s="40">
        <f t="shared" si="5"/>
        <v>1006800</v>
      </c>
      <c r="X31" s="37">
        <v>43537.5</v>
      </c>
      <c r="Y31" s="37">
        <v>62649.440000000002</v>
      </c>
      <c r="Z31" s="37">
        <v>5738.25</v>
      </c>
      <c r="AA31" s="37">
        <v>306806.56</v>
      </c>
      <c r="AB31" s="37">
        <v>175000</v>
      </c>
      <c r="AC31" s="37">
        <f t="shared" si="6"/>
        <v>481806.56</v>
      </c>
      <c r="AD31" s="37">
        <v>5509.88</v>
      </c>
      <c r="AE31" s="37">
        <v>46553.65</v>
      </c>
      <c r="AF31" s="37">
        <v>0</v>
      </c>
      <c r="AG31" s="37">
        <f t="shared" si="7"/>
        <v>52063.53</v>
      </c>
      <c r="AH31" s="40">
        <v>28441.67</v>
      </c>
      <c r="AI31" s="40">
        <f t="shared" si="8"/>
        <v>1035241.67</v>
      </c>
    </row>
    <row r="32" spans="1:35" s="32" customFormat="1" ht="28.8" x14ac:dyDescent="0.25">
      <c r="A32" s="33">
        <v>29</v>
      </c>
      <c r="B32" s="34" t="s">
        <v>224</v>
      </c>
      <c r="C32" s="35">
        <v>3</v>
      </c>
      <c r="D32" s="35">
        <v>6</v>
      </c>
      <c r="E32" s="35">
        <f t="shared" si="0"/>
        <v>2</v>
      </c>
      <c r="F32" s="35">
        <f t="shared" si="1"/>
        <v>200</v>
      </c>
      <c r="G32" s="36">
        <v>21</v>
      </c>
      <c r="H32" s="34" t="s">
        <v>72</v>
      </c>
      <c r="I32" s="34" t="s">
        <v>160</v>
      </c>
      <c r="J32" s="34" t="s">
        <v>161</v>
      </c>
      <c r="K32" s="35">
        <f t="shared" si="2"/>
        <v>25000</v>
      </c>
      <c r="L32" s="34" t="s">
        <v>162</v>
      </c>
      <c r="M32" s="34" t="s">
        <v>163</v>
      </c>
      <c r="N32" s="34" t="s">
        <v>164</v>
      </c>
      <c r="O32" s="35">
        <v>4</v>
      </c>
      <c r="P32" s="35">
        <v>37.840000000000003</v>
      </c>
      <c r="Q32" s="35">
        <v>113.5</v>
      </c>
      <c r="R32" s="35">
        <v>681000</v>
      </c>
      <c r="S32" s="35">
        <v>140000</v>
      </c>
      <c r="T32" s="35">
        <f t="shared" si="3"/>
        <v>821000</v>
      </c>
      <c r="U32" s="35">
        <v>150000</v>
      </c>
      <c r="V32" s="35">
        <f t="shared" si="4"/>
        <v>150000</v>
      </c>
      <c r="W32" s="35">
        <f t="shared" si="5"/>
        <v>671000</v>
      </c>
      <c r="X32" s="37">
        <v>29025</v>
      </c>
      <c r="Y32" s="37">
        <v>41766.29</v>
      </c>
      <c r="Z32" s="37">
        <v>3825.5</v>
      </c>
      <c r="AA32" s="37">
        <v>250506.51</v>
      </c>
      <c r="AB32" s="37">
        <v>175000</v>
      </c>
      <c r="AC32" s="37">
        <f t="shared" si="6"/>
        <v>425506.51</v>
      </c>
      <c r="AD32" s="37">
        <v>3673.26</v>
      </c>
      <c r="AE32" s="37">
        <v>31035.77</v>
      </c>
      <c r="AF32" s="37">
        <v>0</v>
      </c>
      <c r="AG32" s="37">
        <f t="shared" si="7"/>
        <v>34709.03</v>
      </c>
      <c r="AH32" s="35">
        <v>18961.11</v>
      </c>
      <c r="AI32" s="35">
        <f t="shared" si="8"/>
        <v>689961.11</v>
      </c>
    </row>
    <row r="33" spans="1:35" s="32" customFormat="1" ht="28.8" x14ac:dyDescent="0.25">
      <c r="A33" s="38">
        <v>30</v>
      </c>
      <c r="B33" s="39" t="s">
        <v>225</v>
      </c>
      <c r="C33" s="40">
        <v>3.55</v>
      </c>
      <c r="D33" s="40">
        <v>7</v>
      </c>
      <c r="E33" s="40">
        <f t="shared" si="0"/>
        <v>1.971830985915493</v>
      </c>
      <c r="F33" s="40">
        <f t="shared" si="1"/>
        <v>197.18309859154931</v>
      </c>
      <c r="G33" s="41">
        <v>21</v>
      </c>
      <c r="H33" s="39" t="s">
        <v>72</v>
      </c>
      <c r="I33" s="39" t="s">
        <v>160</v>
      </c>
      <c r="J33" s="39" t="s">
        <v>161</v>
      </c>
      <c r="K33" s="40">
        <f t="shared" si="2"/>
        <v>25000</v>
      </c>
      <c r="L33" s="39" t="s">
        <v>162</v>
      </c>
      <c r="M33" s="39" t="s">
        <v>163</v>
      </c>
      <c r="N33" s="39" t="s">
        <v>164</v>
      </c>
      <c r="O33" s="40">
        <v>5</v>
      </c>
      <c r="P33" s="40">
        <v>37.770000000000003</v>
      </c>
      <c r="Q33" s="40">
        <v>134.1</v>
      </c>
      <c r="R33" s="40">
        <v>804600</v>
      </c>
      <c r="S33" s="40">
        <v>175000</v>
      </c>
      <c r="T33" s="40">
        <f t="shared" si="3"/>
        <v>979600</v>
      </c>
      <c r="U33" s="40">
        <v>175000</v>
      </c>
      <c r="V33" s="40">
        <f t="shared" si="4"/>
        <v>175000</v>
      </c>
      <c r="W33" s="40">
        <f t="shared" si="5"/>
        <v>804600</v>
      </c>
      <c r="X33" s="37">
        <v>33862.5</v>
      </c>
      <c r="Y33" s="37">
        <v>49848.68</v>
      </c>
      <c r="Z33" s="37">
        <v>4556.68</v>
      </c>
      <c r="AA33" s="37">
        <v>272503.8</v>
      </c>
      <c r="AB33" s="37">
        <v>175000</v>
      </c>
      <c r="AC33" s="37">
        <f t="shared" si="6"/>
        <v>447503.8</v>
      </c>
      <c r="AD33" s="37">
        <v>4330.97</v>
      </c>
      <c r="AE33" s="37">
        <v>36787.089999999997</v>
      </c>
      <c r="AF33" s="37">
        <v>0</v>
      </c>
      <c r="AG33" s="37">
        <f t="shared" si="7"/>
        <v>41118.06</v>
      </c>
      <c r="AH33" s="40">
        <v>22218.03</v>
      </c>
      <c r="AI33" s="40">
        <f t="shared" si="8"/>
        <v>826818.03</v>
      </c>
    </row>
    <row r="34" spans="1:35" s="32" customFormat="1" ht="28.8" x14ac:dyDescent="0.25">
      <c r="A34" s="33">
        <v>31</v>
      </c>
      <c r="B34" s="34" t="s">
        <v>226</v>
      </c>
      <c r="C34" s="35">
        <v>4.8099999999999996</v>
      </c>
      <c r="D34" s="35">
        <v>10</v>
      </c>
      <c r="E34" s="35">
        <f t="shared" si="0"/>
        <v>2.0790020790020791</v>
      </c>
      <c r="F34" s="35">
        <f t="shared" si="1"/>
        <v>207.9002079002079</v>
      </c>
      <c r="G34" s="36">
        <v>21</v>
      </c>
      <c r="H34" s="34" t="s">
        <v>72</v>
      </c>
      <c r="I34" s="34" t="s">
        <v>160</v>
      </c>
      <c r="J34" s="34" t="s">
        <v>227</v>
      </c>
      <c r="K34" s="35">
        <f t="shared" si="2"/>
        <v>25000</v>
      </c>
      <c r="L34" s="34" t="s">
        <v>228</v>
      </c>
      <c r="M34" s="34" t="s">
        <v>229</v>
      </c>
      <c r="N34" s="34" t="s">
        <v>230</v>
      </c>
      <c r="O34" s="35">
        <v>7</v>
      </c>
      <c r="P34" s="35">
        <v>37.840000000000003</v>
      </c>
      <c r="Q34" s="35">
        <v>182</v>
      </c>
      <c r="R34" s="35">
        <v>1092000</v>
      </c>
      <c r="S34" s="35">
        <v>245000</v>
      </c>
      <c r="T34" s="35">
        <f t="shared" si="3"/>
        <v>1337000</v>
      </c>
      <c r="U34" s="35">
        <v>250000</v>
      </c>
      <c r="V34" s="35">
        <f t="shared" si="4"/>
        <v>250000</v>
      </c>
      <c r="W34" s="35">
        <f t="shared" si="5"/>
        <v>1087000</v>
      </c>
      <c r="X34" s="37">
        <v>48375</v>
      </c>
      <c r="Y34" s="37">
        <v>65379.39</v>
      </c>
      <c r="Z34" s="37">
        <v>6022.3</v>
      </c>
      <c r="AA34" s="37">
        <v>317198.34999999998</v>
      </c>
      <c r="AB34" s="37">
        <v>175000</v>
      </c>
      <c r="AC34" s="37">
        <f t="shared" si="6"/>
        <v>492198.35</v>
      </c>
      <c r="AD34" s="37">
        <v>5949.17</v>
      </c>
      <c r="AE34" s="37">
        <v>49527.26</v>
      </c>
      <c r="AF34" s="37">
        <v>0</v>
      </c>
      <c r="AG34" s="37">
        <f t="shared" si="7"/>
        <v>55476.43</v>
      </c>
      <c r="AH34" s="35">
        <v>31218.83</v>
      </c>
      <c r="AI34" s="35">
        <f t="shared" si="8"/>
        <v>1118218.83</v>
      </c>
    </row>
    <row r="35" spans="1:35" s="32" customFormat="1" ht="28.8" x14ac:dyDescent="0.25">
      <c r="A35" s="38">
        <v>32</v>
      </c>
      <c r="B35" s="39" t="s">
        <v>231</v>
      </c>
      <c r="C35" s="40">
        <v>4.8</v>
      </c>
      <c r="D35" s="40">
        <v>10</v>
      </c>
      <c r="E35" s="40">
        <f t="shared" si="0"/>
        <v>2.0833333333333335</v>
      </c>
      <c r="F35" s="40">
        <f t="shared" si="1"/>
        <v>208.33333333333334</v>
      </c>
      <c r="G35" s="41">
        <v>21</v>
      </c>
      <c r="H35" s="39" t="s">
        <v>72</v>
      </c>
      <c r="I35" s="39" t="s">
        <v>160</v>
      </c>
      <c r="J35" s="39" t="s">
        <v>227</v>
      </c>
      <c r="K35" s="40">
        <f t="shared" si="2"/>
        <v>25000</v>
      </c>
      <c r="L35" s="39" t="s">
        <v>228</v>
      </c>
      <c r="M35" s="39" t="s">
        <v>229</v>
      </c>
      <c r="N35" s="39" t="s">
        <v>230</v>
      </c>
      <c r="O35" s="40">
        <v>7</v>
      </c>
      <c r="P35" s="40">
        <v>37.840000000000003</v>
      </c>
      <c r="Q35" s="40">
        <v>181.6</v>
      </c>
      <c r="R35" s="40">
        <v>1089600</v>
      </c>
      <c r="S35" s="40">
        <v>245000</v>
      </c>
      <c r="T35" s="40">
        <f t="shared" si="3"/>
        <v>1334600</v>
      </c>
      <c r="U35" s="40">
        <v>250000</v>
      </c>
      <c r="V35" s="40">
        <f t="shared" si="4"/>
        <v>250000</v>
      </c>
      <c r="W35" s="40">
        <f t="shared" si="5"/>
        <v>1084600</v>
      </c>
      <c r="X35" s="37">
        <v>48375</v>
      </c>
      <c r="Y35" s="37">
        <v>65157.96</v>
      </c>
      <c r="Z35" s="37">
        <v>6003.78</v>
      </c>
      <c r="AA35" s="37">
        <v>316868.45</v>
      </c>
      <c r="AB35" s="37">
        <v>175000</v>
      </c>
      <c r="AC35" s="37">
        <f t="shared" si="6"/>
        <v>491868.45</v>
      </c>
      <c r="AD35" s="37">
        <v>5940.07</v>
      </c>
      <c r="AE35" s="37">
        <v>49411.53</v>
      </c>
      <c r="AF35" s="37">
        <v>0</v>
      </c>
      <c r="AG35" s="37">
        <f t="shared" si="7"/>
        <v>55351.6</v>
      </c>
      <c r="AH35" s="40">
        <v>31198.03</v>
      </c>
      <c r="AI35" s="40">
        <f t="shared" si="8"/>
        <v>1115798.03</v>
      </c>
    </row>
    <row r="36" spans="1:35" s="32" customFormat="1" ht="28.8" x14ac:dyDescent="0.25">
      <c r="A36" s="33">
        <v>33</v>
      </c>
      <c r="B36" s="34" t="s">
        <v>232</v>
      </c>
      <c r="C36" s="35">
        <v>3.45</v>
      </c>
      <c r="D36" s="35">
        <v>7</v>
      </c>
      <c r="E36" s="35">
        <f t="shared" si="0"/>
        <v>2.0289855072463765</v>
      </c>
      <c r="F36" s="35">
        <f t="shared" si="1"/>
        <v>202.89855072463766</v>
      </c>
      <c r="G36" s="36">
        <v>21</v>
      </c>
      <c r="H36" s="34" t="s">
        <v>72</v>
      </c>
      <c r="I36" s="34" t="s">
        <v>160</v>
      </c>
      <c r="J36" s="34" t="s">
        <v>233</v>
      </c>
      <c r="K36" s="35">
        <f t="shared" si="2"/>
        <v>25000</v>
      </c>
      <c r="L36" s="34" t="s">
        <v>234</v>
      </c>
      <c r="M36" s="34" t="s">
        <v>235</v>
      </c>
      <c r="N36" s="34" t="s">
        <v>236</v>
      </c>
      <c r="O36" s="35">
        <v>5</v>
      </c>
      <c r="P36" s="35">
        <v>37.840000000000003</v>
      </c>
      <c r="Q36" s="35">
        <v>130.5</v>
      </c>
      <c r="R36" s="35">
        <v>783000</v>
      </c>
      <c r="S36" s="35">
        <v>175000</v>
      </c>
      <c r="T36" s="35">
        <f t="shared" si="3"/>
        <v>958000</v>
      </c>
      <c r="U36" s="35">
        <v>175000</v>
      </c>
      <c r="V36" s="35">
        <f t="shared" si="4"/>
        <v>175000</v>
      </c>
      <c r="W36" s="35">
        <f t="shared" si="5"/>
        <v>783000</v>
      </c>
      <c r="X36" s="37">
        <v>33862.5</v>
      </c>
      <c r="Y36" s="37">
        <v>47610.239999999998</v>
      </c>
      <c r="Z36" s="37">
        <v>4369.79</v>
      </c>
      <c r="AA36" s="37">
        <v>268638.3</v>
      </c>
      <c r="AB36" s="37">
        <v>175000</v>
      </c>
      <c r="AC36" s="37">
        <f t="shared" si="6"/>
        <v>443638.3</v>
      </c>
      <c r="AD36" s="37">
        <v>4239.96</v>
      </c>
      <c r="AE36" s="37">
        <v>35629.71</v>
      </c>
      <c r="AF36" s="37">
        <v>0</v>
      </c>
      <c r="AG36" s="37">
        <f t="shared" si="7"/>
        <v>39869.67</v>
      </c>
      <c r="AH36" s="35">
        <v>22022.39</v>
      </c>
      <c r="AI36" s="35">
        <f t="shared" si="8"/>
        <v>805022.39</v>
      </c>
    </row>
    <row r="37" spans="1:35" s="32" customFormat="1" ht="28.8" x14ac:dyDescent="0.25">
      <c r="A37" s="38">
        <v>34</v>
      </c>
      <c r="B37" s="39" t="s">
        <v>237</v>
      </c>
      <c r="C37" s="40">
        <v>4.4400000000000004</v>
      </c>
      <c r="D37" s="40">
        <v>9</v>
      </c>
      <c r="E37" s="40">
        <f t="shared" si="0"/>
        <v>2.0270270270270268</v>
      </c>
      <c r="F37" s="40">
        <f t="shared" si="1"/>
        <v>202.70270270270268</v>
      </c>
      <c r="G37" s="41">
        <v>21</v>
      </c>
      <c r="H37" s="39" t="s">
        <v>72</v>
      </c>
      <c r="I37" s="39" t="s">
        <v>160</v>
      </c>
      <c r="J37" s="39" t="s">
        <v>161</v>
      </c>
      <c r="K37" s="40">
        <f t="shared" si="2"/>
        <v>25000</v>
      </c>
      <c r="L37" s="39" t="s">
        <v>162</v>
      </c>
      <c r="M37" s="39" t="s">
        <v>163</v>
      </c>
      <c r="N37" s="39" t="s">
        <v>164</v>
      </c>
      <c r="O37" s="40">
        <v>6</v>
      </c>
      <c r="P37" s="40">
        <v>37.840000000000003</v>
      </c>
      <c r="Q37" s="40">
        <v>168</v>
      </c>
      <c r="R37" s="40">
        <v>1008000</v>
      </c>
      <c r="S37" s="40">
        <v>210000</v>
      </c>
      <c r="T37" s="40">
        <f t="shared" si="3"/>
        <v>1218000</v>
      </c>
      <c r="U37" s="40">
        <v>225000</v>
      </c>
      <c r="V37" s="40">
        <f t="shared" si="4"/>
        <v>225000</v>
      </c>
      <c r="W37" s="40">
        <f t="shared" si="5"/>
        <v>993000</v>
      </c>
      <c r="X37" s="37">
        <v>43537.5</v>
      </c>
      <c r="Y37" s="37">
        <v>61308.74</v>
      </c>
      <c r="Z37" s="37">
        <v>5626.29</v>
      </c>
      <c r="AA37" s="37">
        <v>304754.32</v>
      </c>
      <c r="AB37" s="37">
        <v>175000</v>
      </c>
      <c r="AC37" s="37">
        <f t="shared" si="6"/>
        <v>479754.32</v>
      </c>
      <c r="AD37" s="37">
        <v>5455.28</v>
      </c>
      <c r="AE37" s="37">
        <v>45859.23</v>
      </c>
      <c r="AF37" s="37">
        <v>0</v>
      </c>
      <c r="AG37" s="37">
        <f t="shared" si="7"/>
        <v>51314.51</v>
      </c>
      <c r="AH37" s="40">
        <v>28323.07</v>
      </c>
      <c r="AI37" s="40">
        <f t="shared" si="8"/>
        <v>1021323.07</v>
      </c>
    </row>
    <row r="38" spans="1:35" s="32" customFormat="1" ht="28.8" x14ac:dyDescent="0.25">
      <c r="A38" s="33">
        <v>35</v>
      </c>
      <c r="B38" s="34" t="s">
        <v>238</v>
      </c>
      <c r="C38" s="35">
        <v>4.43</v>
      </c>
      <c r="D38" s="35">
        <v>9</v>
      </c>
      <c r="E38" s="35">
        <f t="shared" si="0"/>
        <v>2.0316027088036117</v>
      </c>
      <c r="F38" s="35">
        <f t="shared" si="1"/>
        <v>203.16027088036117</v>
      </c>
      <c r="G38" s="36">
        <v>21</v>
      </c>
      <c r="H38" s="34" t="s">
        <v>72</v>
      </c>
      <c r="I38" s="34" t="s">
        <v>160</v>
      </c>
      <c r="J38" s="34" t="s">
        <v>161</v>
      </c>
      <c r="K38" s="35">
        <f t="shared" si="2"/>
        <v>25000</v>
      </c>
      <c r="L38" s="34" t="s">
        <v>162</v>
      </c>
      <c r="M38" s="34" t="s">
        <v>163</v>
      </c>
      <c r="N38" s="34" t="s">
        <v>164</v>
      </c>
      <c r="O38" s="35">
        <v>6</v>
      </c>
      <c r="P38" s="35">
        <v>37.840000000000003</v>
      </c>
      <c r="Q38" s="35">
        <v>167.6</v>
      </c>
      <c r="R38" s="35">
        <v>1005600</v>
      </c>
      <c r="S38" s="35">
        <v>210000</v>
      </c>
      <c r="T38" s="35">
        <f t="shared" si="3"/>
        <v>1215600</v>
      </c>
      <c r="U38" s="35">
        <v>225000</v>
      </c>
      <c r="V38" s="35">
        <f t="shared" si="4"/>
        <v>225000</v>
      </c>
      <c r="W38" s="35">
        <f t="shared" si="5"/>
        <v>990600</v>
      </c>
      <c r="X38" s="37">
        <v>43537.5</v>
      </c>
      <c r="Y38" s="37">
        <v>61085.760000000002</v>
      </c>
      <c r="Z38" s="37">
        <v>5607.66</v>
      </c>
      <c r="AA38" s="37">
        <v>304410.94</v>
      </c>
      <c r="AB38" s="37">
        <v>175000</v>
      </c>
      <c r="AC38" s="37">
        <f t="shared" si="6"/>
        <v>479410.94</v>
      </c>
      <c r="AD38" s="37">
        <v>5446.18</v>
      </c>
      <c r="AE38" s="37">
        <v>45743.49</v>
      </c>
      <c r="AF38" s="37">
        <v>0</v>
      </c>
      <c r="AG38" s="37">
        <f t="shared" si="7"/>
        <v>51189.67</v>
      </c>
      <c r="AH38" s="35">
        <v>28303.06</v>
      </c>
      <c r="AI38" s="35">
        <f t="shared" si="8"/>
        <v>1018903.06</v>
      </c>
    </row>
    <row r="39" spans="1:35" s="32" customFormat="1" ht="28.8" x14ac:dyDescent="0.25">
      <c r="A39" s="38">
        <v>36</v>
      </c>
      <c r="B39" s="39" t="s">
        <v>239</v>
      </c>
      <c r="C39" s="40">
        <v>3.77</v>
      </c>
      <c r="D39" s="40">
        <v>8</v>
      </c>
      <c r="E39" s="40">
        <f t="shared" si="0"/>
        <v>2.1220159151193636</v>
      </c>
      <c r="F39" s="40">
        <f t="shared" si="1"/>
        <v>212.20159151193636</v>
      </c>
      <c r="G39" s="41">
        <v>21</v>
      </c>
      <c r="H39" s="39" t="s">
        <v>72</v>
      </c>
      <c r="I39" s="39" t="s">
        <v>160</v>
      </c>
      <c r="J39" s="39" t="s">
        <v>161</v>
      </c>
      <c r="K39" s="40">
        <f t="shared" si="2"/>
        <v>25000</v>
      </c>
      <c r="L39" s="39" t="s">
        <v>162</v>
      </c>
      <c r="M39" s="39" t="s">
        <v>163</v>
      </c>
      <c r="N39" s="39" t="s">
        <v>164</v>
      </c>
      <c r="O39" s="40">
        <v>5</v>
      </c>
      <c r="P39" s="40">
        <v>37.840000000000003</v>
      </c>
      <c r="Q39" s="40">
        <v>142.69999999999999</v>
      </c>
      <c r="R39" s="40">
        <v>856200</v>
      </c>
      <c r="S39" s="40">
        <v>175000</v>
      </c>
      <c r="T39" s="40">
        <f t="shared" si="3"/>
        <v>1031200</v>
      </c>
      <c r="U39" s="40">
        <v>200000</v>
      </c>
      <c r="V39" s="40">
        <f t="shared" si="4"/>
        <v>200000</v>
      </c>
      <c r="W39" s="40">
        <f t="shared" si="5"/>
        <v>831200</v>
      </c>
      <c r="X39" s="37">
        <v>38700</v>
      </c>
      <c r="Y39" s="37">
        <v>50580.85</v>
      </c>
      <c r="Z39" s="37">
        <v>4673.7</v>
      </c>
      <c r="AA39" s="37">
        <v>280820.65999999997</v>
      </c>
      <c r="AB39" s="37">
        <v>175000</v>
      </c>
      <c r="AC39" s="37">
        <f t="shared" si="6"/>
        <v>455820.66</v>
      </c>
      <c r="AD39" s="37">
        <v>4688.3500000000004</v>
      </c>
      <c r="AE39" s="37">
        <v>38719.06</v>
      </c>
      <c r="AF39" s="37">
        <v>0</v>
      </c>
      <c r="AG39" s="37">
        <f t="shared" si="7"/>
        <v>43407.409999999996</v>
      </c>
      <c r="AH39" s="40">
        <v>24810.44</v>
      </c>
      <c r="AI39" s="40">
        <f t="shared" si="8"/>
        <v>856010.44</v>
      </c>
    </row>
    <row r="40" spans="1:35" ht="13.5" customHeight="1" x14ac:dyDescent="0.25">
      <c r="G40" s="20"/>
    </row>
    <row r="41" spans="1:35" ht="13.5" customHeight="1" x14ac:dyDescent="0.25">
      <c r="G41" s="20"/>
    </row>
    <row r="42" spans="1:35" ht="13.5" customHeight="1" x14ac:dyDescent="0.25">
      <c r="G42" s="20"/>
    </row>
    <row r="43" spans="1:35" ht="13.5" customHeight="1" x14ac:dyDescent="0.25">
      <c r="G43" s="20"/>
    </row>
    <row r="44" spans="1:35" ht="13.5" customHeight="1" x14ac:dyDescent="0.25">
      <c r="G44" s="20"/>
    </row>
    <row r="45" spans="1:35" ht="13.5" customHeight="1" x14ac:dyDescent="0.25">
      <c r="G45" s="20"/>
    </row>
    <row r="46" spans="1:35" ht="13.5" customHeight="1" x14ac:dyDescent="0.25">
      <c r="G46" s="20"/>
    </row>
    <row r="47" spans="1:35" ht="13.5" customHeight="1" x14ac:dyDescent="0.25">
      <c r="G47" s="20"/>
    </row>
    <row r="48" spans="1:35" ht="13.5" customHeight="1" x14ac:dyDescent="0.25">
      <c r="G48" s="20"/>
    </row>
    <row r="49" spans="7:7" ht="13.5" customHeight="1" x14ac:dyDescent="0.25">
      <c r="G49" s="20"/>
    </row>
    <row r="50" spans="7:7" ht="13.5" customHeight="1" x14ac:dyDescent="0.25">
      <c r="G50" s="20"/>
    </row>
    <row r="51" spans="7:7" ht="13.5" customHeight="1" x14ac:dyDescent="0.25">
      <c r="G51" s="20"/>
    </row>
    <row r="52" spans="7:7" ht="13.5" customHeight="1" x14ac:dyDescent="0.25">
      <c r="G52" s="20"/>
    </row>
    <row r="53" spans="7:7" ht="13.5" customHeight="1" x14ac:dyDescent="0.25">
      <c r="G53" s="20"/>
    </row>
    <row r="54" spans="7:7" ht="13.5" customHeight="1" x14ac:dyDescent="0.25">
      <c r="G54" s="20"/>
    </row>
    <row r="55" spans="7:7" ht="13.5" customHeight="1" x14ac:dyDescent="0.25">
      <c r="G55" s="20"/>
    </row>
    <row r="56" spans="7:7" ht="13.5" customHeight="1" x14ac:dyDescent="0.25">
      <c r="G56" s="20"/>
    </row>
    <row r="57" spans="7:7" ht="13.5" customHeight="1" x14ac:dyDescent="0.25">
      <c r="G57" s="20"/>
    </row>
    <row r="58" spans="7:7" ht="13.5" customHeight="1" x14ac:dyDescent="0.25">
      <c r="G58" s="20"/>
    </row>
    <row r="59" spans="7:7" ht="13.5" customHeight="1" x14ac:dyDescent="0.25">
      <c r="G59" s="20"/>
    </row>
    <row r="60" spans="7:7" ht="13.5" customHeight="1" x14ac:dyDescent="0.25">
      <c r="G60" s="20"/>
    </row>
    <row r="61" spans="7:7" ht="13.5" customHeight="1" x14ac:dyDescent="0.25">
      <c r="G61" s="20"/>
    </row>
    <row r="62" spans="7:7" ht="13.5" customHeight="1" x14ac:dyDescent="0.25">
      <c r="G62" s="20"/>
    </row>
    <row r="63" spans="7:7" ht="13.5" customHeight="1" x14ac:dyDescent="0.25">
      <c r="G63" s="20"/>
    </row>
    <row r="64" spans="7:7" ht="13.5" customHeight="1" x14ac:dyDescent="0.25">
      <c r="G64" s="20"/>
    </row>
    <row r="65" spans="7:7" ht="13.5" customHeight="1" x14ac:dyDescent="0.25">
      <c r="G65" s="20"/>
    </row>
    <row r="66" spans="7:7" ht="13.5" customHeight="1" x14ac:dyDescent="0.25">
      <c r="G66" s="20"/>
    </row>
    <row r="67" spans="7:7" ht="13.5" customHeight="1" x14ac:dyDescent="0.25">
      <c r="G67" s="20"/>
    </row>
    <row r="68" spans="7:7" ht="13.5" customHeight="1" x14ac:dyDescent="0.25">
      <c r="G68" s="20"/>
    </row>
    <row r="69" spans="7:7" ht="13.5" customHeight="1" x14ac:dyDescent="0.25">
      <c r="G69" s="20"/>
    </row>
    <row r="70" spans="7:7" ht="13.5" customHeight="1" x14ac:dyDescent="0.25">
      <c r="G70" s="20"/>
    </row>
    <row r="71" spans="7:7" ht="13.5" customHeight="1" x14ac:dyDescent="0.25">
      <c r="G71" s="20"/>
    </row>
    <row r="72" spans="7:7" ht="13.5" customHeight="1" x14ac:dyDescent="0.25">
      <c r="G72" s="20"/>
    </row>
    <row r="73" spans="7:7" ht="13.5" customHeight="1" x14ac:dyDescent="0.25">
      <c r="G73" s="20"/>
    </row>
    <row r="74" spans="7:7" ht="13.5" customHeight="1" x14ac:dyDescent="0.25">
      <c r="G74" s="20"/>
    </row>
    <row r="75" spans="7:7" ht="13.5" customHeight="1" x14ac:dyDescent="0.25">
      <c r="G75" s="20"/>
    </row>
    <row r="76" spans="7:7" ht="13.5" customHeight="1" x14ac:dyDescent="0.25">
      <c r="G76" s="20"/>
    </row>
    <row r="77" spans="7:7" ht="13.5" customHeight="1" x14ac:dyDescent="0.25">
      <c r="G77" s="20"/>
    </row>
    <row r="78" spans="7:7" ht="13.5" customHeight="1" x14ac:dyDescent="0.25">
      <c r="G78" s="20"/>
    </row>
    <row r="79" spans="7:7" ht="13.5" customHeight="1" x14ac:dyDescent="0.25">
      <c r="G79" s="20"/>
    </row>
    <row r="80" spans="7:7" ht="13.5" customHeight="1" x14ac:dyDescent="0.25">
      <c r="G80" s="20"/>
    </row>
    <row r="81" spans="7:7" ht="13.5" customHeight="1" x14ac:dyDescent="0.25">
      <c r="G81" s="20"/>
    </row>
    <row r="82" spans="7:7" ht="13.5" customHeight="1" x14ac:dyDescent="0.25">
      <c r="G82" s="20"/>
    </row>
    <row r="83" spans="7:7" ht="13.5" customHeight="1" x14ac:dyDescent="0.25">
      <c r="G83" s="20"/>
    </row>
    <row r="84" spans="7:7" ht="13.5" customHeight="1" x14ac:dyDescent="0.25">
      <c r="G84" s="20"/>
    </row>
    <row r="85" spans="7:7" ht="13.5" customHeight="1" x14ac:dyDescent="0.25">
      <c r="G85" s="20"/>
    </row>
    <row r="86" spans="7:7" ht="13.5" customHeight="1" x14ac:dyDescent="0.25">
      <c r="G86" s="20"/>
    </row>
    <row r="87" spans="7:7" ht="13.5" customHeight="1" x14ac:dyDescent="0.25">
      <c r="G87" s="20"/>
    </row>
    <row r="88" spans="7:7" ht="13.5" customHeight="1" x14ac:dyDescent="0.25">
      <c r="G88" s="20"/>
    </row>
    <row r="89" spans="7:7" ht="13.5" customHeight="1" x14ac:dyDescent="0.25">
      <c r="G89" s="20"/>
    </row>
    <row r="90" spans="7:7" ht="13.5" customHeight="1" x14ac:dyDescent="0.25">
      <c r="G90" s="20"/>
    </row>
    <row r="91" spans="7:7" ht="13.5" customHeight="1" x14ac:dyDescent="0.25">
      <c r="G91" s="20"/>
    </row>
    <row r="92" spans="7:7" ht="13.5" customHeight="1" x14ac:dyDescent="0.25">
      <c r="G92" s="20"/>
    </row>
    <row r="93" spans="7:7" ht="13.5" customHeight="1" x14ac:dyDescent="0.25">
      <c r="G93" s="20"/>
    </row>
    <row r="94" spans="7:7" ht="13.5" customHeight="1" x14ac:dyDescent="0.25">
      <c r="G94" s="20"/>
    </row>
    <row r="95" spans="7:7" ht="13.5" customHeight="1" x14ac:dyDescent="0.25">
      <c r="G95" s="20"/>
    </row>
    <row r="96" spans="7:7" ht="13.5" customHeight="1" x14ac:dyDescent="0.25">
      <c r="G96" s="20"/>
    </row>
    <row r="97" spans="7:7" ht="13.5" customHeight="1" x14ac:dyDescent="0.25">
      <c r="G97" s="20"/>
    </row>
    <row r="98" spans="7:7" ht="13.5" customHeight="1" x14ac:dyDescent="0.25">
      <c r="G98" s="20"/>
    </row>
    <row r="99" spans="7:7" ht="13.5" customHeight="1" x14ac:dyDescent="0.25">
      <c r="G99" s="20"/>
    </row>
    <row r="100" spans="7:7" ht="13.5" customHeight="1" x14ac:dyDescent="0.25">
      <c r="G100" s="20"/>
    </row>
    <row r="101" spans="7:7" ht="13.5" customHeight="1" x14ac:dyDescent="0.25">
      <c r="G101" s="20"/>
    </row>
    <row r="102" spans="7:7" ht="13.5" customHeight="1" x14ac:dyDescent="0.25">
      <c r="G102" s="20"/>
    </row>
    <row r="103" spans="7:7" ht="13.5" customHeight="1" x14ac:dyDescent="0.25">
      <c r="G103" s="20"/>
    </row>
    <row r="104" spans="7:7" ht="13.5" customHeight="1" x14ac:dyDescent="0.25">
      <c r="G104" s="20"/>
    </row>
    <row r="105" spans="7:7" ht="13.5" customHeight="1" x14ac:dyDescent="0.25">
      <c r="G105" s="20"/>
    </row>
    <row r="106" spans="7:7" ht="13.5" customHeight="1" x14ac:dyDescent="0.25">
      <c r="G106" s="20"/>
    </row>
    <row r="107" spans="7:7" ht="13.5" customHeight="1" x14ac:dyDescent="0.25">
      <c r="G107" s="20"/>
    </row>
    <row r="108" spans="7:7" ht="13.5" customHeight="1" x14ac:dyDescent="0.25">
      <c r="G108" s="20"/>
    </row>
    <row r="109" spans="7:7" ht="13.5" customHeight="1" x14ac:dyDescent="0.25">
      <c r="G109" s="20"/>
    </row>
    <row r="110" spans="7:7" ht="13.5" customHeight="1" x14ac:dyDescent="0.25">
      <c r="G110" s="20"/>
    </row>
    <row r="111" spans="7:7" ht="13.5" customHeight="1" x14ac:dyDescent="0.25">
      <c r="G111" s="20"/>
    </row>
    <row r="112" spans="7:7" ht="13.5" customHeight="1" x14ac:dyDescent="0.25">
      <c r="G112" s="20"/>
    </row>
    <row r="113" spans="7:7" ht="13.5" customHeight="1" x14ac:dyDescent="0.25">
      <c r="G113" s="20"/>
    </row>
    <row r="114" spans="7:7" ht="13.5" customHeight="1" x14ac:dyDescent="0.25">
      <c r="G114" s="20"/>
    </row>
    <row r="115" spans="7:7" ht="13.5" customHeight="1" x14ac:dyDescent="0.25">
      <c r="G115" s="20"/>
    </row>
    <row r="116" spans="7:7" ht="13.5" customHeight="1" x14ac:dyDescent="0.25">
      <c r="G116" s="20"/>
    </row>
    <row r="117" spans="7:7" ht="13.5" customHeight="1" x14ac:dyDescent="0.25">
      <c r="G117" s="20"/>
    </row>
    <row r="118" spans="7:7" ht="13.5" customHeight="1" x14ac:dyDescent="0.25">
      <c r="G118" s="20"/>
    </row>
    <row r="119" spans="7:7" ht="13.5" customHeight="1" x14ac:dyDescent="0.25">
      <c r="G119" s="20"/>
    </row>
    <row r="120" spans="7:7" ht="13.5" customHeight="1" x14ac:dyDescent="0.25">
      <c r="G120" s="20"/>
    </row>
    <row r="121" spans="7:7" ht="13.5" customHeight="1" x14ac:dyDescent="0.25">
      <c r="G121" s="20"/>
    </row>
    <row r="122" spans="7:7" ht="13.5" customHeight="1" x14ac:dyDescent="0.25">
      <c r="G122" s="20"/>
    </row>
    <row r="123" spans="7:7" ht="13.5" customHeight="1" x14ac:dyDescent="0.25">
      <c r="G123" s="20"/>
    </row>
    <row r="124" spans="7:7" ht="13.5" customHeight="1" x14ac:dyDescent="0.25">
      <c r="G124" s="20"/>
    </row>
    <row r="125" spans="7:7" ht="13.5" customHeight="1" x14ac:dyDescent="0.25">
      <c r="G125" s="20"/>
    </row>
    <row r="126" spans="7:7" ht="13.5" customHeight="1" x14ac:dyDescent="0.25">
      <c r="G126" s="20"/>
    </row>
    <row r="127" spans="7:7" ht="13.5" customHeight="1" x14ac:dyDescent="0.25">
      <c r="G127" s="20"/>
    </row>
    <row r="128" spans="7:7" ht="13.5" customHeight="1" x14ac:dyDescent="0.25">
      <c r="G128" s="20"/>
    </row>
    <row r="129" spans="7:7" ht="13.5" customHeight="1" x14ac:dyDescent="0.25">
      <c r="G129" s="20"/>
    </row>
    <row r="130" spans="7:7" ht="13.5" customHeight="1" x14ac:dyDescent="0.25">
      <c r="G130" s="20"/>
    </row>
    <row r="131" spans="7:7" ht="13.5" customHeight="1" x14ac:dyDescent="0.25">
      <c r="G131" s="20"/>
    </row>
    <row r="132" spans="7:7" ht="13.5" customHeight="1" x14ac:dyDescent="0.25">
      <c r="G132" s="20"/>
    </row>
    <row r="133" spans="7:7" ht="13.5" customHeight="1" x14ac:dyDescent="0.25">
      <c r="G133" s="20"/>
    </row>
    <row r="134" spans="7:7" ht="13.5" customHeight="1" x14ac:dyDescent="0.25">
      <c r="G134" s="20"/>
    </row>
    <row r="135" spans="7:7" ht="13.5" customHeight="1" x14ac:dyDescent="0.25">
      <c r="G135" s="20"/>
    </row>
    <row r="136" spans="7:7" ht="13.5" customHeight="1" x14ac:dyDescent="0.25">
      <c r="G136" s="20"/>
    </row>
    <row r="137" spans="7:7" ht="13.5" customHeight="1" x14ac:dyDescent="0.25">
      <c r="G137" s="20"/>
    </row>
    <row r="138" spans="7:7" ht="13.5" customHeight="1" x14ac:dyDescent="0.25">
      <c r="G138" s="20"/>
    </row>
    <row r="139" spans="7:7" ht="13.5" customHeight="1" x14ac:dyDescent="0.25">
      <c r="G139" s="20"/>
    </row>
    <row r="140" spans="7:7" ht="13.5" customHeight="1" x14ac:dyDescent="0.25">
      <c r="G140" s="20"/>
    </row>
    <row r="141" spans="7:7" ht="13.5" customHeight="1" x14ac:dyDescent="0.25">
      <c r="G141" s="20"/>
    </row>
    <row r="142" spans="7:7" ht="13.5" customHeight="1" x14ac:dyDescent="0.25">
      <c r="G142" s="20"/>
    </row>
    <row r="143" spans="7:7" ht="13.5" customHeight="1" x14ac:dyDescent="0.25">
      <c r="G143" s="20"/>
    </row>
    <row r="144" spans="7:7" ht="13.5" customHeight="1" x14ac:dyDescent="0.25">
      <c r="G144" s="20"/>
    </row>
    <row r="145" spans="7:7" ht="13.5" customHeight="1" x14ac:dyDescent="0.25">
      <c r="G145" s="20"/>
    </row>
    <row r="146" spans="7:7" ht="13.5" customHeight="1" x14ac:dyDescent="0.25">
      <c r="G146" s="20"/>
    </row>
    <row r="147" spans="7:7" ht="13.5" customHeight="1" x14ac:dyDescent="0.25">
      <c r="G147" s="20"/>
    </row>
    <row r="148" spans="7:7" ht="13.5" customHeight="1" x14ac:dyDescent="0.25">
      <c r="G148" s="20"/>
    </row>
    <row r="149" spans="7:7" ht="13.5" customHeight="1" x14ac:dyDescent="0.25">
      <c r="G149" s="20"/>
    </row>
    <row r="150" spans="7:7" ht="13.5" customHeight="1" x14ac:dyDescent="0.25">
      <c r="G150" s="20"/>
    </row>
    <row r="151" spans="7:7" ht="13.5" customHeight="1" x14ac:dyDescent="0.25">
      <c r="G151" s="20"/>
    </row>
    <row r="152" spans="7:7" ht="13.5" customHeight="1" x14ac:dyDescent="0.25">
      <c r="G152" s="20"/>
    </row>
    <row r="153" spans="7:7" ht="13.5" customHeight="1" x14ac:dyDescent="0.25">
      <c r="G153" s="20"/>
    </row>
    <row r="154" spans="7:7" ht="13.5" customHeight="1" x14ac:dyDescent="0.25">
      <c r="G154" s="20"/>
    </row>
    <row r="155" spans="7:7" ht="13.5" customHeight="1" x14ac:dyDescent="0.25">
      <c r="G155" s="20"/>
    </row>
    <row r="156" spans="7:7" ht="13.5" customHeight="1" x14ac:dyDescent="0.25">
      <c r="G156" s="20"/>
    </row>
    <row r="157" spans="7:7" ht="13.5" customHeight="1" x14ac:dyDescent="0.25">
      <c r="G157" s="20"/>
    </row>
    <row r="158" spans="7:7" ht="13.5" customHeight="1" x14ac:dyDescent="0.25">
      <c r="G158" s="20"/>
    </row>
    <row r="159" spans="7:7" ht="13.5" customHeight="1" x14ac:dyDescent="0.25">
      <c r="G159" s="20"/>
    </row>
    <row r="160" spans="7:7" ht="13.5" customHeight="1" x14ac:dyDescent="0.25">
      <c r="G160" s="20"/>
    </row>
    <row r="161" spans="7:7" ht="13.5" customHeight="1" x14ac:dyDescent="0.25">
      <c r="G161" s="20"/>
    </row>
    <row r="162" spans="7:7" ht="13.5" customHeight="1" x14ac:dyDescent="0.25">
      <c r="G162" s="20"/>
    </row>
    <row r="163" spans="7:7" ht="13.5" customHeight="1" x14ac:dyDescent="0.25">
      <c r="G163" s="20"/>
    </row>
    <row r="164" spans="7:7" ht="13.5" customHeight="1" x14ac:dyDescent="0.25">
      <c r="G164" s="20"/>
    </row>
    <row r="165" spans="7:7" ht="13.5" customHeight="1" x14ac:dyDescent="0.25">
      <c r="G165" s="20"/>
    </row>
    <row r="166" spans="7:7" ht="13.5" customHeight="1" x14ac:dyDescent="0.25">
      <c r="G166" s="20"/>
    </row>
    <row r="167" spans="7:7" ht="13.5" customHeight="1" x14ac:dyDescent="0.25">
      <c r="G167" s="20"/>
    </row>
    <row r="168" spans="7:7" ht="13.5" customHeight="1" x14ac:dyDescent="0.25">
      <c r="G168" s="20"/>
    </row>
    <row r="169" spans="7:7" ht="13.5" customHeight="1" x14ac:dyDescent="0.25">
      <c r="G169" s="20"/>
    </row>
    <row r="170" spans="7:7" ht="13.5" customHeight="1" x14ac:dyDescent="0.25">
      <c r="G170" s="20"/>
    </row>
    <row r="171" spans="7:7" ht="13.5" customHeight="1" x14ac:dyDescent="0.25">
      <c r="G171" s="20"/>
    </row>
    <row r="172" spans="7:7" ht="13.5" customHeight="1" x14ac:dyDescent="0.25">
      <c r="G172" s="20"/>
    </row>
    <row r="173" spans="7:7" ht="13.5" customHeight="1" x14ac:dyDescent="0.25">
      <c r="G173" s="20"/>
    </row>
    <row r="174" spans="7:7" ht="13.5" customHeight="1" x14ac:dyDescent="0.25">
      <c r="G174" s="20"/>
    </row>
    <row r="175" spans="7:7" ht="13.5" customHeight="1" x14ac:dyDescent="0.25">
      <c r="G175" s="20"/>
    </row>
    <row r="176" spans="7:7" ht="13.5" customHeight="1" x14ac:dyDescent="0.25">
      <c r="G176" s="20"/>
    </row>
    <row r="177" spans="7:7" ht="13.5" customHeight="1" x14ac:dyDescent="0.25">
      <c r="G177" s="20"/>
    </row>
    <row r="178" spans="7:7" ht="13.5" customHeight="1" x14ac:dyDescent="0.25">
      <c r="G178" s="20"/>
    </row>
    <row r="179" spans="7:7" ht="13.5" customHeight="1" x14ac:dyDescent="0.25">
      <c r="G179" s="20"/>
    </row>
    <row r="180" spans="7:7" ht="13.5" customHeight="1" x14ac:dyDescent="0.25">
      <c r="G180" s="20"/>
    </row>
    <row r="181" spans="7:7" ht="13.5" customHeight="1" x14ac:dyDescent="0.25">
      <c r="G181" s="20"/>
    </row>
    <row r="182" spans="7:7" ht="13.5" customHeight="1" x14ac:dyDescent="0.25">
      <c r="G182" s="20"/>
    </row>
    <row r="183" spans="7:7" ht="13.5" customHeight="1" x14ac:dyDescent="0.25">
      <c r="G183" s="20"/>
    </row>
    <row r="184" spans="7:7" ht="13.5" customHeight="1" x14ac:dyDescent="0.25">
      <c r="G184" s="20"/>
    </row>
    <row r="185" spans="7:7" ht="13.5" customHeight="1" x14ac:dyDescent="0.25">
      <c r="G185" s="20"/>
    </row>
    <row r="186" spans="7:7" ht="13.5" customHeight="1" x14ac:dyDescent="0.25">
      <c r="G186" s="20"/>
    </row>
    <row r="187" spans="7:7" ht="13.5" customHeight="1" x14ac:dyDescent="0.25">
      <c r="G187" s="20"/>
    </row>
    <row r="188" spans="7:7" ht="13.5" customHeight="1" x14ac:dyDescent="0.25">
      <c r="G188" s="20"/>
    </row>
    <row r="189" spans="7:7" ht="13.5" customHeight="1" x14ac:dyDescent="0.25">
      <c r="G189" s="20"/>
    </row>
    <row r="190" spans="7:7" ht="13.5" customHeight="1" x14ac:dyDescent="0.25">
      <c r="G190" s="20"/>
    </row>
    <row r="191" spans="7:7" ht="13.5" customHeight="1" x14ac:dyDescent="0.25">
      <c r="G191" s="20"/>
    </row>
    <row r="192" spans="7:7" ht="13.5" customHeight="1" x14ac:dyDescent="0.25">
      <c r="G192" s="20"/>
    </row>
    <row r="193" spans="7:7" ht="13.5" customHeight="1" x14ac:dyDescent="0.25">
      <c r="G193" s="20"/>
    </row>
    <row r="194" spans="7:7" ht="13.5" customHeight="1" x14ac:dyDescent="0.25">
      <c r="G194" s="20"/>
    </row>
    <row r="195" spans="7:7" ht="13.5" customHeight="1" x14ac:dyDescent="0.25">
      <c r="G195" s="20"/>
    </row>
    <row r="196" spans="7:7" ht="13.5" customHeight="1" x14ac:dyDescent="0.25">
      <c r="G196" s="20"/>
    </row>
    <row r="197" spans="7:7" ht="13.5" customHeight="1" x14ac:dyDescent="0.25">
      <c r="G197" s="20"/>
    </row>
    <row r="198" spans="7:7" ht="13.5" customHeight="1" x14ac:dyDescent="0.25">
      <c r="G198" s="20"/>
    </row>
    <row r="199" spans="7:7" ht="13.5" customHeight="1" x14ac:dyDescent="0.25">
      <c r="G199" s="20"/>
    </row>
    <row r="200" spans="7:7" ht="13.5" customHeight="1" x14ac:dyDescent="0.25">
      <c r="G200" s="20"/>
    </row>
    <row r="201" spans="7:7" ht="13.5" customHeight="1" x14ac:dyDescent="0.25">
      <c r="G201" s="20"/>
    </row>
    <row r="202" spans="7:7" ht="13.5" customHeight="1" x14ac:dyDescent="0.25">
      <c r="G202" s="20"/>
    </row>
    <row r="203" spans="7:7" ht="13.5" customHeight="1" x14ac:dyDescent="0.25">
      <c r="G203" s="20"/>
    </row>
    <row r="204" spans="7:7" ht="13.5" customHeight="1" x14ac:dyDescent="0.25">
      <c r="G204" s="20"/>
    </row>
    <row r="205" spans="7:7" ht="13.5" customHeight="1" x14ac:dyDescent="0.25">
      <c r="G205" s="20"/>
    </row>
    <row r="206" spans="7:7" ht="13.5" customHeight="1" x14ac:dyDescent="0.25">
      <c r="G206" s="20"/>
    </row>
    <row r="207" spans="7:7" ht="13.5" customHeight="1" x14ac:dyDescent="0.25">
      <c r="G207" s="20"/>
    </row>
    <row r="208" spans="7:7" ht="13.5" customHeight="1" x14ac:dyDescent="0.25">
      <c r="G208" s="20"/>
    </row>
    <row r="209" spans="7:7" ht="13.5" customHeight="1" x14ac:dyDescent="0.25">
      <c r="G209" s="20"/>
    </row>
    <row r="210" spans="7:7" ht="13.5" customHeight="1" x14ac:dyDescent="0.25">
      <c r="G210" s="20"/>
    </row>
    <row r="211" spans="7:7" ht="13.5" customHeight="1" x14ac:dyDescent="0.25">
      <c r="G211" s="20"/>
    </row>
    <row r="212" spans="7:7" ht="13.5" customHeight="1" x14ac:dyDescent="0.25">
      <c r="G212" s="20"/>
    </row>
    <row r="213" spans="7:7" ht="13.5" customHeight="1" x14ac:dyDescent="0.25">
      <c r="G213" s="20"/>
    </row>
    <row r="214" spans="7:7" ht="13.5" customHeight="1" x14ac:dyDescent="0.25">
      <c r="G214" s="20"/>
    </row>
    <row r="215" spans="7:7" ht="13.5" customHeight="1" x14ac:dyDescent="0.25">
      <c r="G215" s="20"/>
    </row>
    <row r="216" spans="7:7" ht="13.5" customHeight="1" x14ac:dyDescent="0.25">
      <c r="G216" s="20"/>
    </row>
    <row r="217" spans="7:7" ht="13.5" customHeight="1" x14ac:dyDescent="0.25">
      <c r="G217" s="20"/>
    </row>
    <row r="218" spans="7:7" ht="13.5" customHeight="1" x14ac:dyDescent="0.25">
      <c r="G218" s="20"/>
    </row>
    <row r="219" spans="7:7" ht="13.5" customHeight="1" x14ac:dyDescent="0.25">
      <c r="G219" s="20"/>
    </row>
    <row r="220" spans="7:7" ht="13.5" customHeight="1" x14ac:dyDescent="0.25">
      <c r="G220" s="20"/>
    </row>
    <row r="221" spans="7:7" ht="13.5" customHeight="1" x14ac:dyDescent="0.25">
      <c r="G221" s="20"/>
    </row>
    <row r="222" spans="7:7" ht="13.5" customHeight="1" x14ac:dyDescent="0.25">
      <c r="G222" s="20"/>
    </row>
    <row r="223" spans="7:7" ht="13.5" customHeight="1" x14ac:dyDescent="0.25">
      <c r="G223" s="20"/>
    </row>
    <row r="224" spans="7:7" ht="13.5" customHeight="1" x14ac:dyDescent="0.25">
      <c r="G224" s="20"/>
    </row>
    <row r="225" spans="7:7" ht="13.5" customHeight="1" x14ac:dyDescent="0.25">
      <c r="G225" s="20"/>
    </row>
    <row r="226" spans="7:7" ht="13.5" customHeight="1" x14ac:dyDescent="0.25">
      <c r="G226" s="20"/>
    </row>
    <row r="227" spans="7:7" ht="13.5" customHeight="1" x14ac:dyDescent="0.25">
      <c r="G227" s="20"/>
    </row>
    <row r="228" spans="7:7" ht="13.5" customHeight="1" x14ac:dyDescent="0.25">
      <c r="G228" s="20"/>
    </row>
    <row r="229" spans="7:7" ht="13.5" customHeight="1" x14ac:dyDescent="0.25">
      <c r="G229" s="20"/>
    </row>
    <row r="230" spans="7:7" ht="13.5" customHeight="1" x14ac:dyDescent="0.25">
      <c r="G230" s="20"/>
    </row>
    <row r="231" spans="7:7" ht="13.5" customHeight="1" x14ac:dyDescent="0.25">
      <c r="G231" s="20"/>
    </row>
    <row r="232" spans="7:7" ht="13.5" customHeight="1" x14ac:dyDescent="0.25">
      <c r="G232" s="20"/>
    </row>
    <row r="233" spans="7:7" ht="13.5" customHeight="1" x14ac:dyDescent="0.25">
      <c r="G233" s="20"/>
    </row>
    <row r="234" spans="7:7" ht="13.5" customHeight="1" x14ac:dyDescent="0.25">
      <c r="G234" s="20"/>
    </row>
    <row r="235" spans="7:7" ht="13.5" customHeight="1" x14ac:dyDescent="0.25">
      <c r="G235" s="20"/>
    </row>
    <row r="236" spans="7:7" ht="13.5" customHeight="1" x14ac:dyDescent="0.25">
      <c r="G236" s="20"/>
    </row>
    <row r="237" spans="7:7" ht="13.5" customHeight="1" x14ac:dyDescent="0.25">
      <c r="G237" s="20"/>
    </row>
    <row r="238" spans="7:7" ht="13.5" customHeight="1" x14ac:dyDescent="0.25">
      <c r="G238" s="20"/>
    </row>
    <row r="239" spans="7:7" ht="13.5" customHeight="1" x14ac:dyDescent="0.25">
      <c r="G239" s="20"/>
    </row>
    <row r="240" spans="7:7" ht="13.5" customHeight="1" x14ac:dyDescent="0.25">
      <c r="G240" s="20"/>
    </row>
    <row r="241" spans="7:7" ht="13.5" customHeight="1" x14ac:dyDescent="0.25">
      <c r="G241" s="20"/>
    </row>
    <row r="242" spans="7:7" ht="13.5" customHeight="1" x14ac:dyDescent="0.25">
      <c r="G242" s="20"/>
    </row>
    <row r="243" spans="7:7" ht="13.5" customHeight="1" x14ac:dyDescent="0.25">
      <c r="G243" s="20"/>
    </row>
    <row r="244" spans="7:7" ht="13.5" customHeight="1" x14ac:dyDescent="0.25">
      <c r="G244" s="20"/>
    </row>
    <row r="245" spans="7:7" ht="13.5" customHeight="1" x14ac:dyDescent="0.25">
      <c r="G245" s="20"/>
    </row>
    <row r="246" spans="7:7" ht="13.5" customHeight="1" x14ac:dyDescent="0.25">
      <c r="G246" s="20"/>
    </row>
    <row r="247" spans="7:7" ht="13.5" customHeight="1" x14ac:dyDescent="0.25">
      <c r="G247" s="20"/>
    </row>
    <row r="248" spans="7:7" ht="13.5" customHeight="1" x14ac:dyDescent="0.25">
      <c r="G248" s="20"/>
    </row>
    <row r="249" spans="7:7" ht="13.5" customHeight="1" x14ac:dyDescent="0.25">
      <c r="G249" s="20"/>
    </row>
    <row r="250" spans="7:7" ht="13.5" customHeight="1" x14ac:dyDescent="0.25">
      <c r="G250" s="20"/>
    </row>
    <row r="251" spans="7:7" ht="13.5" customHeight="1" x14ac:dyDescent="0.25">
      <c r="G251" s="20"/>
    </row>
    <row r="252" spans="7:7" ht="13.5" customHeight="1" x14ac:dyDescent="0.25">
      <c r="G252" s="20"/>
    </row>
    <row r="253" spans="7:7" ht="13.5" customHeight="1" x14ac:dyDescent="0.25">
      <c r="G253" s="20"/>
    </row>
    <row r="254" spans="7:7" ht="13.5" customHeight="1" x14ac:dyDescent="0.25">
      <c r="G254" s="20"/>
    </row>
    <row r="255" spans="7:7" ht="13.5" customHeight="1" x14ac:dyDescent="0.25">
      <c r="G255" s="20"/>
    </row>
    <row r="256" spans="7:7" ht="13.5" customHeight="1" x14ac:dyDescent="0.25">
      <c r="G256" s="20"/>
    </row>
    <row r="257" spans="7:7" ht="13.5" customHeight="1" x14ac:dyDescent="0.25">
      <c r="G257" s="20"/>
    </row>
    <row r="258" spans="7:7" ht="13.5" customHeight="1" x14ac:dyDescent="0.25">
      <c r="G258" s="20"/>
    </row>
    <row r="259" spans="7:7" ht="13.5" customHeight="1" x14ac:dyDescent="0.25">
      <c r="G259" s="20"/>
    </row>
    <row r="260" spans="7:7" ht="13.5" customHeight="1" x14ac:dyDescent="0.25">
      <c r="G260" s="20"/>
    </row>
    <row r="261" spans="7:7" ht="13.5" customHeight="1" x14ac:dyDescent="0.25">
      <c r="G261" s="20"/>
    </row>
    <row r="262" spans="7:7" ht="13.5" customHeight="1" x14ac:dyDescent="0.25">
      <c r="G262" s="20"/>
    </row>
    <row r="263" spans="7:7" ht="13.5" customHeight="1" x14ac:dyDescent="0.25">
      <c r="G263" s="20"/>
    </row>
    <row r="264" spans="7:7" ht="13.5" customHeight="1" x14ac:dyDescent="0.25">
      <c r="G264" s="20"/>
    </row>
    <row r="265" spans="7:7" ht="13.5" customHeight="1" x14ac:dyDescent="0.25">
      <c r="G265" s="20"/>
    </row>
    <row r="266" spans="7:7" ht="13.5" customHeight="1" x14ac:dyDescent="0.25">
      <c r="G266" s="20"/>
    </row>
    <row r="267" spans="7:7" ht="13.5" customHeight="1" x14ac:dyDescent="0.25">
      <c r="G267" s="20"/>
    </row>
    <row r="268" spans="7:7" ht="13.5" customHeight="1" x14ac:dyDescent="0.25">
      <c r="G268" s="20"/>
    </row>
    <row r="269" spans="7:7" ht="13.5" customHeight="1" x14ac:dyDescent="0.25">
      <c r="G269" s="20"/>
    </row>
    <row r="270" spans="7:7" ht="13.5" customHeight="1" x14ac:dyDescent="0.25">
      <c r="G270" s="20"/>
    </row>
    <row r="271" spans="7:7" ht="13.5" customHeight="1" x14ac:dyDescent="0.25">
      <c r="G271" s="20"/>
    </row>
    <row r="272" spans="7:7" ht="13.5" customHeight="1" x14ac:dyDescent="0.25">
      <c r="G272" s="20"/>
    </row>
    <row r="273" spans="7:7" ht="13.5" customHeight="1" x14ac:dyDescent="0.25">
      <c r="G273" s="20"/>
    </row>
    <row r="274" spans="7:7" ht="13.5" customHeight="1" x14ac:dyDescent="0.25">
      <c r="G274" s="20"/>
    </row>
    <row r="275" spans="7:7" ht="13.5" customHeight="1" x14ac:dyDescent="0.25">
      <c r="G275" s="20"/>
    </row>
    <row r="276" spans="7:7" ht="13.5" customHeight="1" x14ac:dyDescent="0.25">
      <c r="G276" s="20"/>
    </row>
    <row r="277" spans="7:7" ht="13.5" customHeight="1" x14ac:dyDescent="0.25">
      <c r="G277" s="20"/>
    </row>
    <row r="278" spans="7:7" ht="13.5" customHeight="1" x14ac:dyDescent="0.25">
      <c r="G278" s="20"/>
    </row>
    <row r="279" spans="7:7" ht="13.5" customHeight="1" x14ac:dyDescent="0.25">
      <c r="G279" s="20"/>
    </row>
    <row r="280" spans="7:7" ht="13.5" customHeight="1" x14ac:dyDescent="0.25">
      <c r="G280" s="20"/>
    </row>
    <row r="281" spans="7:7" ht="13.5" customHeight="1" x14ac:dyDescent="0.25">
      <c r="G281" s="20"/>
    </row>
    <row r="282" spans="7:7" ht="13.5" customHeight="1" x14ac:dyDescent="0.25">
      <c r="G282" s="20"/>
    </row>
    <row r="283" spans="7:7" ht="13.5" customHeight="1" x14ac:dyDescent="0.25">
      <c r="G283" s="20"/>
    </row>
    <row r="284" spans="7:7" ht="13.5" customHeight="1" x14ac:dyDescent="0.25">
      <c r="G284" s="20"/>
    </row>
    <row r="285" spans="7:7" ht="13.5" customHeight="1" x14ac:dyDescent="0.25">
      <c r="G285" s="20"/>
    </row>
    <row r="286" spans="7:7" ht="13.5" customHeight="1" x14ac:dyDescent="0.25">
      <c r="G286" s="20"/>
    </row>
    <row r="287" spans="7:7" ht="13.5" customHeight="1" x14ac:dyDescent="0.25">
      <c r="G287" s="20"/>
    </row>
    <row r="288" spans="7:7" ht="13.5" customHeight="1" x14ac:dyDescent="0.25">
      <c r="G288" s="20"/>
    </row>
    <row r="289" spans="7:7" ht="13.5" customHeight="1" x14ac:dyDescent="0.25">
      <c r="G289" s="20"/>
    </row>
    <row r="290" spans="7:7" ht="13.5" customHeight="1" x14ac:dyDescent="0.25">
      <c r="G290" s="20"/>
    </row>
    <row r="291" spans="7:7" ht="13.5" customHeight="1" x14ac:dyDescent="0.25">
      <c r="G291" s="20"/>
    </row>
    <row r="292" spans="7:7" ht="13.5" customHeight="1" x14ac:dyDescent="0.25">
      <c r="G292" s="20"/>
    </row>
    <row r="293" spans="7:7" ht="13.5" customHeight="1" x14ac:dyDescent="0.25">
      <c r="G293" s="20"/>
    </row>
    <row r="294" spans="7:7" ht="13.5" customHeight="1" x14ac:dyDescent="0.25">
      <c r="G294" s="20"/>
    </row>
    <row r="295" spans="7:7" ht="13.5" customHeight="1" x14ac:dyDescent="0.25">
      <c r="G295" s="20"/>
    </row>
    <row r="296" spans="7:7" ht="13.5" customHeight="1" x14ac:dyDescent="0.25">
      <c r="G296" s="20"/>
    </row>
    <row r="297" spans="7:7" ht="13.5" customHeight="1" x14ac:dyDescent="0.25">
      <c r="G297" s="20"/>
    </row>
    <row r="298" spans="7:7" ht="13.5" customHeight="1" x14ac:dyDescent="0.25">
      <c r="G298" s="20"/>
    </row>
    <row r="299" spans="7:7" ht="13.5" customHeight="1" x14ac:dyDescent="0.25">
      <c r="G299" s="20"/>
    </row>
    <row r="300" spans="7:7" ht="13.5" customHeight="1" x14ac:dyDescent="0.25">
      <c r="G300" s="20"/>
    </row>
    <row r="301" spans="7:7" ht="13.5" customHeight="1" x14ac:dyDescent="0.25">
      <c r="G301" s="20"/>
    </row>
    <row r="302" spans="7:7" ht="13.5" customHeight="1" x14ac:dyDescent="0.25">
      <c r="G302" s="20"/>
    </row>
    <row r="303" spans="7:7" ht="13.5" customHeight="1" x14ac:dyDescent="0.25">
      <c r="G303" s="20"/>
    </row>
    <row r="304" spans="7:7" ht="13.5" customHeight="1" x14ac:dyDescent="0.25">
      <c r="G304" s="20"/>
    </row>
    <row r="305" spans="7:7" ht="13.5" customHeight="1" x14ac:dyDescent="0.25">
      <c r="G305" s="20"/>
    </row>
    <row r="306" spans="7:7" ht="13.5" customHeight="1" x14ac:dyDescent="0.25">
      <c r="G306" s="20"/>
    </row>
    <row r="307" spans="7:7" ht="13.5" customHeight="1" x14ac:dyDescent="0.25">
      <c r="G307" s="20"/>
    </row>
    <row r="308" spans="7:7" ht="13.5" customHeight="1" x14ac:dyDescent="0.25">
      <c r="G308" s="20"/>
    </row>
    <row r="309" spans="7:7" ht="13.5" customHeight="1" x14ac:dyDescent="0.25">
      <c r="G309" s="20"/>
    </row>
    <row r="310" spans="7:7" ht="13.5" customHeight="1" x14ac:dyDescent="0.25">
      <c r="G310" s="20"/>
    </row>
    <row r="311" spans="7:7" ht="13.5" customHeight="1" x14ac:dyDescent="0.25">
      <c r="G311" s="20"/>
    </row>
    <row r="312" spans="7:7" ht="13.5" customHeight="1" x14ac:dyDescent="0.25">
      <c r="G312" s="20"/>
    </row>
    <row r="313" spans="7:7" ht="13.5" customHeight="1" x14ac:dyDescent="0.25">
      <c r="G313" s="20"/>
    </row>
    <row r="314" spans="7:7" ht="13.5" customHeight="1" x14ac:dyDescent="0.25">
      <c r="G314" s="20"/>
    </row>
    <row r="315" spans="7:7" ht="13.5" customHeight="1" x14ac:dyDescent="0.25">
      <c r="G315" s="20"/>
    </row>
    <row r="316" spans="7:7" ht="13.5" customHeight="1" x14ac:dyDescent="0.25">
      <c r="G316" s="20"/>
    </row>
    <row r="317" spans="7:7" ht="13.5" customHeight="1" x14ac:dyDescent="0.25">
      <c r="G317" s="20"/>
    </row>
    <row r="318" spans="7:7" ht="13.5" customHeight="1" x14ac:dyDescent="0.25">
      <c r="G318" s="20"/>
    </row>
    <row r="319" spans="7:7" ht="13.5" customHeight="1" x14ac:dyDescent="0.25">
      <c r="G319" s="20"/>
    </row>
    <row r="320" spans="7:7" ht="13.5" customHeight="1" x14ac:dyDescent="0.25">
      <c r="G320" s="20"/>
    </row>
    <row r="321" spans="7:7" ht="13.5" customHeight="1" x14ac:dyDescent="0.25">
      <c r="G321" s="20"/>
    </row>
    <row r="322" spans="7:7" ht="13.5" customHeight="1" x14ac:dyDescent="0.25">
      <c r="G322" s="20"/>
    </row>
    <row r="323" spans="7:7" ht="13.5" customHeight="1" x14ac:dyDescent="0.25">
      <c r="G323" s="20"/>
    </row>
    <row r="324" spans="7:7" ht="13.5" customHeight="1" x14ac:dyDescent="0.25">
      <c r="G324" s="20"/>
    </row>
    <row r="325" spans="7:7" ht="13.5" customHeight="1" x14ac:dyDescent="0.25">
      <c r="G325" s="20"/>
    </row>
    <row r="326" spans="7:7" ht="13.5" customHeight="1" x14ac:dyDescent="0.25">
      <c r="G326" s="20"/>
    </row>
    <row r="327" spans="7:7" ht="13.5" customHeight="1" x14ac:dyDescent="0.25">
      <c r="G327" s="20"/>
    </row>
    <row r="328" spans="7:7" ht="13.5" customHeight="1" x14ac:dyDescent="0.25">
      <c r="G328" s="20"/>
    </row>
    <row r="329" spans="7:7" ht="13.5" customHeight="1" x14ac:dyDescent="0.25">
      <c r="G329" s="20"/>
    </row>
    <row r="330" spans="7:7" ht="13.5" customHeight="1" x14ac:dyDescent="0.25">
      <c r="G330" s="20"/>
    </row>
    <row r="331" spans="7:7" ht="13.5" customHeight="1" x14ac:dyDescent="0.25">
      <c r="G331" s="20"/>
    </row>
    <row r="332" spans="7:7" ht="13.5" customHeight="1" x14ac:dyDescent="0.25">
      <c r="G332" s="20"/>
    </row>
    <row r="333" spans="7:7" ht="13.5" customHeight="1" x14ac:dyDescent="0.25">
      <c r="G333" s="20"/>
    </row>
    <row r="334" spans="7:7" ht="13.5" customHeight="1" x14ac:dyDescent="0.25">
      <c r="G334" s="20"/>
    </row>
    <row r="335" spans="7:7" ht="13.5" customHeight="1" x14ac:dyDescent="0.25">
      <c r="G335" s="20"/>
    </row>
    <row r="336" spans="7:7" ht="13.5" customHeight="1" x14ac:dyDescent="0.25">
      <c r="G336" s="20"/>
    </row>
    <row r="337" spans="7:7" ht="13.5" customHeight="1" x14ac:dyDescent="0.25">
      <c r="G337" s="20"/>
    </row>
    <row r="338" spans="7:7" ht="13.5" customHeight="1" x14ac:dyDescent="0.25">
      <c r="G338" s="20"/>
    </row>
    <row r="339" spans="7:7" ht="13.5" customHeight="1" x14ac:dyDescent="0.25">
      <c r="G339" s="20"/>
    </row>
    <row r="340" spans="7:7" ht="13.5" customHeight="1" x14ac:dyDescent="0.25">
      <c r="G340" s="20"/>
    </row>
    <row r="341" spans="7:7" ht="13.5" customHeight="1" x14ac:dyDescent="0.25">
      <c r="G341" s="20"/>
    </row>
    <row r="342" spans="7:7" ht="13.5" customHeight="1" x14ac:dyDescent="0.25">
      <c r="G342" s="20"/>
    </row>
    <row r="343" spans="7:7" ht="13.5" customHeight="1" x14ac:dyDescent="0.25">
      <c r="G343" s="20"/>
    </row>
    <row r="344" spans="7:7" ht="13.5" customHeight="1" x14ac:dyDescent="0.25">
      <c r="G344" s="20"/>
    </row>
    <row r="345" spans="7:7" ht="13.5" customHeight="1" x14ac:dyDescent="0.25">
      <c r="G345" s="20"/>
    </row>
    <row r="346" spans="7:7" ht="13.5" customHeight="1" x14ac:dyDescent="0.25">
      <c r="G346" s="20"/>
    </row>
    <row r="347" spans="7:7" ht="13.5" customHeight="1" x14ac:dyDescent="0.25">
      <c r="G347" s="20"/>
    </row>
    <row r="348" spans="7:7" ht="13.5" customHeight="1" x14ac:dyDescent="0.25">
      <c r="G348" s="20"/>
    </row>
    <row r="349" spans="7:7" ht="13.5" customHeight="1" x14ac:dyDescent="0.25">
      <c r="G349" s="20"/>
    </row>
    <row r="350" spans="7:7" ht="13.5" customHeight="1" x14ac:dyDescent="0.25">
      <c r="G350" s="20"/>
    </row>
    <row r="351" spans="7:7" ht="13.5" customHeight="1" x14ac:dyDescent="0.25">
      <c r="G351" s="20"/>
    </row>
    <row r="352" spans="7:7" ht="13.5" customHeight="1" x14ac:dyDescent="0.25">
      <c r="G352" s="20"/>
    </row>
    <row r="353" spans="7:7" ht="13.5" customHeight="1" x14ac:dyDescent="0.25">
      <c r="G353" s="20"/>
    </row>
    <row r="354" spans="7:7" ht="13.5" customHeight="1" x14ac:dyDescent="0.25">
      <c r="G354" s="20"/>
    </row>
    <row r="355" spans="7:7" ht="13.5" customHeight="1" x14ac:dyDescent="0.25">
      <c r="G355" s="20"/>
    </row>
    <row r="356" spans="7:7" ht="13.5" customHeight="1" x14ac:dyDescent="0.25">
      <c r="G356" s="20"/>
    </row>
    <row r="357" spans="7:7" ht="13.5" customHeight="1" x14ac:dyDescent="0.25">
      <c r="G357" s="20"/>
    </row>
    <row r="358" spans="7:7" ht="13.5" customHeight="1" x14ac:dyDescent="0.25">
      <c r="G358" s="20"/>
    </row>
    <row r="359" spans="7:7" ht="13.5" customHeight="1" x14ac:dyDescent="0.25">
      <c r="G359" s="20"/>
    </row>
    <row r="360" spans="7:7" ht="13.5" customHeight="1" x14ac:dyDescent="0.25">
      <c r="G360" s="20"/>
    </row>
    <row r="361" spans="7:7" ht="13.5" customHeight="1" x14ac:dyDescent="0.25">
      <c r="G361" s="20"/>
    </row>
    <row r="362" spans="7:7" ht="13.5" customHeight="1" x14ac:dyDescent="0.25">
      <c r="G362" s="20"/>
    </row>
    <row r="363" spans="7:7" ht="13.5" customHeight="1" x14ac:dyDescent="0.25">
      <c r="G363" s="20"/>
    </row>
    <row r="364" spans="7:7" ht="13.5" customHeight="1" x14ac:dyDescent="0.25">
      <c r="G364" s="20"/>
    </row>
    <row r="365" spans="7:7" ht="13.5" customHeight="1" x14ac:dyDescent="0.25">
      <c r="G365" s="20"/>
    </row>
    <row r="366" spans="7:7" ht="13.5" customHeight="1" x14ac:dyDescent="0.25">
      <c r="G366" s="20"/>
    </row>
    <row r="367" spans="7:7" ht="13.5" customHeight="1" x14ac:dyDescent="0.25">
      <c r="G367" s="20"/>
    </row>
    <row r="368" spans="7:7" ht="13.5" customHeight="1" x14ac:dyDescent="0.25">
      <c r="G368" s="20"/>
    </row>
    <row r="369" spans="7:7" ht="13.5" customHeight="1" x14ac:dyDescent="0.25">
      <c r="G369" s="20"/>
    </row>
    <row r="370" spans="7:7" ht="13.5" customHeight="1" x14ac:dyDescent="0.25">
      <c r="G370" s="20"/>
    </row>
    <row r="371" spans="7:7" ht="13.5" customHeight="1" x14ac:dyDescent="0.25">
      <c r="G371" s="20"/>
    </row>
    <row r="372" spans="7:7" ht="13.5" customHeight="1" x14ac:dyDescent="0.25">
      <c r="G372" s="20"/>
    </row>
    <row r="373" spans="7:7" ht="13.5" customHeight="1" x14ac:dyDescent="0.25">
      <c r="G373" s="20"/>
    </row>
    <row r="374" spans="7:7" ht="13.5" customHeight="1" x14ac:dyDescent="0.25">
      <c r="G374" s="20"/>
    </row>
    <row r="375" spans="7:7" ht="13.5" customHeight="1" x14ac:dyDescent="0.25">
      <c r="G375" s="20"/>
    </row>
    <row r="376" spans="7:7" ht="13.5" customHeight="1" x14ac:dyDescent="0.25">
      <c r="G376" s="20"/>
    </row>
    <row r="377" spans="7:7" ht="13.5" customHeight="1" x14ac:dyDescent="0.25">
      <c r="G377" s="20"/>
    </row>
    <row r="378" spans="7:7" ht="13.5" customHeight="1" x14ac:dyDescent="0.25">
      <c r="G378" s="20"/>
    </row>
    <row r="379" spans="7:7" ht="13.5" customHeight="1" x14ac:dyDescent="0.25">
      <c r="G379" s="20"/>
    </row>
    <row r="380" spans="7:7" ht="13.5" customHeight="1" x14ac:dyDescent="0.25">
      <c r="G380" s="20"/>
    </row>
    <row r="381" spans="7:7" ht="13.5" customHeight="1" x14ac:dyDescent="0.25">
      <c r="G381" s="20"/>
    </row>
    <row r="382" spans="7:7" ht="13.5" customHeight="1" x14ac:dyDescent="0.25">
      <c r="G382" s="20"/>
    </row>
    <row r="383" spans="7:7" ht="13.5" customHeight="1" x14ac:dyDescent="0.25">
      <c r="G383" s="20"/>
    </row>
    <row r="384" spans="7:7" ht="13.5" customHeight="1" x14ac:dyDescent="0.25">
      <c r="G384" s="20"/>
    </row>
    <row r="385" spans="7:7" ht="13.5" customHeight="1" x14ac:dyDescent="0.25">
      <c r="G385" s="20"/>
    </row>
    <row r="386" spans="7:7" ht="13.5" customHeight="1" x14ac:dyDescent="0.25">
      <c r="G386" s="20"/>
    </row>
    <row r="387" spans="7:7" ht="13.5" customHeight="1" x14ac:dyDescent="0.25">
      <c r="G387" s="20"/>
    </row>
    <row r="388" spans="7:7" ht="13.5" customHeight="1" x14ac:dyDescent="0.25">
      <c r="G388" s="20"/>
    </row>
    <row r="389" spans="7:7" ht="13.5" customHeight="1" x14ac:dyDescent="0.25">
      <c r="G389" s="20"/>
    </row>
    <row r="390" spans="7:7" ht="13.5" customHeight="1" x14ac:dyDescent="0.25">
      <c r="G390" s="20"/>
    </row>
    <row r="391" spans="7:7" ht="13.5" customHeight="1" x14ac:dyDescent="0.25">
      <c r="G391" s="20"/>
    </row>
    <row r="392" spans="7:7" ht="13.5" customHeight="1" x14ac:dyDescent="0.25">
      <c r="G392" s="20"/>
    </row>
    <row r="393" spans="7:7" ht="13.5" customHeight="1" x14ac:dyDescent="0.25">
      <c r="G393" s="20"/>
    </row>
    <row r="394" spans="7:7" ht="13.5" customHeight="1" x14ac:dyDescent="0.25">
      <c r="G394" s="20"/>
    </row>
    <row r="395" spans="7:7" ht="13.5" customHeight="1" x14ac:dyDescent="0.25">
      <c r="G395" s="20"/>
    </row>
    <row r="396" spans="7:7" ht="13.5" customHeight="1" x14ac:dyDescent="0.25">
      <c r="G396" s="20"/>
    </row>
    <row r="397" spans="7:7" ht="13.5" customHeight="1" x14ac:dyDescent="0.25">
      <c r="G397" s="20"/>
    </row>
    <row r="398" spans="7:7" ht="13.5" customHeight="1" x14ac:dyDescent="0.25">
      <c r="G398" s="20"/>
    </row>
    <row r="399" spans="7:7" ht="13.5" customHeight="1" x14ac:dyDescent="0.25">
      <c r="G399" s="20"/>
    </row>
    <row r="400" spans="7:7" ht="13.5" customHeight="1" x14ac:dyDescent="0.25">
      <c r="G400" s="20"/>
    </row>
    <row r="401" spans="7:7" ht="13.5" customHeight="1" x14ac:dyDescent="0.25">
      <c r="G401" s="20"/>
    </row>
    <row r="402" spans="7:7" ht="13.5" customHeight="1" x14ac:dyDescent="0.25">
      <c r="G402" s="20"/>
    </row>
    <row r="403" spans="7:7" ht="13.5" customHeight="1" x14ac:dyDescent="0.25">
      <c r="G403" s="20"/>
    </row>
    <row r="404" spans="7:7" ht="13.5" customHeight="1" x14ac:dyDescent="0.25">
      <c r="G404" s="20"/>
    </row>
    <row r="405" spans="7:7" ht="13.5" customHeight="1" x14ac:dyDescent="0.25">
      <c r="G405" s="20"/>
    </row>
    <row r="406" spans="7:7" ht="13.5" customHeight="1" x14ac:dyDescent="0.25">
      <c r="G406" s="20"/>
    </row>
    <row r="407" spans="7:7" ht="13.5" customHeight="1" x14ac:dyDescent="0.25">
      <c r="G407" s="20"/>
    </row>
    <row r="408" spans="7:7" ht="13.5" customHeight="1" x14ac:dyDescent="0.25">
      <c r="G408" s="20"/>
    </row>
    <row r="409" spans="7:7" ht="13.5" customHeight="1" x14ac:dyDescent="0.25">
      <c r="G409" s="20"/>
    </row>
    <row r="410" spans="7:7" ht="13.5" customHeight="1" x14ac:dyDescent="0.25">
      <c r="G410" s="20"/>
    </row>
    <row r="411" spans="7:7" ht="13.5" customHeight="1" x14ac:dyDescent="0.25">
      <c r="G411" s="20"/>
    </row>
    <row r="412" spans="7:7" ht="13.5" customHeight="1" x14ac:dyDescent="0.25">
      <c r="G412" s="20"/>
    </row>
    <row r="413" spans="7:7" ht="13.5" customHeight="1" x14ac:dyDescent="0.25">
      <c r="G413" s="20"/>
    </row>
    <row r="414" spans="7:7" ht="13.5" customHeight="1" x14ac:dyDescent="0.25">
      <c r="G414" s="20"/>
    </row>
    <row r="415" spans="7:7" ht="13.5" customHeight="1" x14ac:dyDescent="0.25">
      <c r="G415" s="20"/>
    </row>
    <row r="416" spans="7:7" ht="13.5" customHeight="1" x14ac:dyDescent="0.25">
      <c r="G416" s="20"/>
    </row>
    <row r="417" spans="7:7" ht="13.5" customHeight="1" x14ac:dyDescent="0.25">
      <c r="G417" s="20"/>
    </row>
    <row r="418" spans="7:7" ht="13.5" customHeight="1" x14ac:dyDescent="0.25">
      <c r="G418" s="20"/>
    </row>
    <row r="419" spans="7:7" ht="13.5" customHeight="1" x14ac:dyDescent="0.25">
      <c r="G419" s="20"/>
    </row>
    <row r="420" spans="7:7" ht="13.5" customHeight="1" x14ac:dyDescent="0.25">
      <c r="G420" s="20"/>
    </row>
    <row r="421" spans="7:7" ht="13.5" customHeight="1" x14ac:dyDescent="0.25">
      <c r="G421" s="20"/>
    </row>
    <row r="422" spans="7:7" ht="13.5" customHeight="1" x14ac:dyDescent="0.25">
      <c r="G422" s="20"/>
    </row>
    <row r="423" spans="7:7" ht="13.5" customHeight="1" x14ac:dyDescent="0.25">
      <c r="G423" s="20"/>
    </row>
    <row r="424" spans="7:7" ht="13.5" customHeight="1" x14ac:dyDescent="0.25">
      <c r="G424" s="20"/>
    </row>
    <row r="425" spans="7:7" ht="13.5" customHeight="1" x14ac:dyDescent="0.25">
      <c r="G425" s="20"/>
    </row>
    <row r="426" spans="7:7" ht="13.5" customHeight="1" x14ac:dyDescent="0.25">
      <c r="G426" s="20"/>
    </row>
    <row r="427" spans="7:7" ht="13.5" customHeight="1" x14ac:dyDescent="0.25">
      <c r="G427" s="20"/>
    </row>
    <row r="428" spans="7:7" ht="13.5" customHeight="1" x14ac:dyDescent="0.25">
      <c r="G428" s="20"/>
    </row>
    <row r="429" spans="7:7" ht="13.5" customHeight="1" x14ac:dyDescent="0.25">
      <c r="G429" s="20"/>
    </row>
    <row r="430" spans="7:7" ht="13.5" customHeight="1" x14ac:dyDescent="0.25">
      <c r="G430" s="20"/>
    </row>
    <row r="431" spans="7:7" ht="13.5" customHeight="1" x14ac:dyDescent="0.25">
      <c r="G431" s="20"/>
    </row>
    <row r="432" spans="7:7" ht="13.5" customHeight="1" x14ac:dyDescent="0.25">
      <c r="G432" s="20"/>
    </row>
    <row r="433" spans="7:7" ht="13.5" customHeight="1" x14ac:dyDescent="0.25">
      <c r="G433" s="20"/>
    </row>
    <row r="434" spans="7:7" ht="13.5" customHeight="1" x14ac:dyDescent="0.25">
      <c r="G434" s="20"/>
    </row>
    <row r="435" spans="7:7" ht="13.5" customHeight="1" x14ac:dyDescent="0.25">
      <c r="G435" s="20"/>
    </row>
    <row r="436" spans="7:7" ht="13.5" customHeight="1" x14ac:dyDescent="0.25">
      <c r="G436" s="20"/>
    </row>
    <row r="437" spans="7:7" ht="13.5" customHeight="1" x14ac:dyDescent="0.25">
      <c r="G437" s="20"/>
    </row>
    <row r="438" spans="7:7" ht="13.5" customHeight="1" x14ac:dyDescent="0.25">
      <c r="G438" s="20"/>
    </row>
    <row r="439" spans="7:7" ht="13.5" customHeight="1" x14ac:dyDescent="0.25">
      <c r="G439" s="20"/>
    </row>
    <row r="440" spans="7:7" ht="13.5" customHeight="1" x14ac:dyDescent="0.25">
      <c r="G440" s="20"/>
    </row>
    <row r="441" spans="7:7" ht="13.5" customHeight="1" x14ac:dyDescent="0.25">
      <c r="G441" s="20"/>
    </row>
    <row r="442" spans="7:7" ht="13.5" customHeight="1" x14ac:dyDescent="0.25">
      <c r="G442" s="20"/>
    </row>
    <row r="443" spans="7:7" ht="13.5" customHeight="1" x14ac:dyDescent="0.25">
      <c r="G443" s="20"/>
    </row>
    <row r="444" spans="7:7" ht="13.5" customHeight="1" x14ac:dyDescent="0.25">
      <c r="G444" s="20"/>
    </row>
    <row r="445" spans="7:7" ht="13.5" customHeight="1" x14ac:dyDescent="0.25">
      <c r="G445" s="20"/>
    </row>
    <row r="446" spans="7:7" ht="13.5" customHeight="1" x14ac:dyDescent="0.25">
      <c r="G446" s="20"/>
    </row>
    <row r="447" spans="7:7" ht="13.5" customHeight="1" x14ac:dyDescent="0.25">
      <c r="G447" s="20"/>
    </row>
    <row r="448" spans="7:7" ht="13.5" customHeight="1" x14ac:dyDescent="0.25">
      <c r="G448" s="20"/>
    </row>
    <row r="449" spans="7:7" ht="13.5" customHeight="1" x14ac:dyDescent="0.25">
      <c r="G449" s="20"/>
    </row>
    <row r="450" spans="7:7" ht="13.5" customHeight="1" x14ac:dyDescent="0.25">
      <c r="G450" s="20"/>
    </row>
    <row r="451" spans="7:7" ht="13.5" customHeight="1" x14ac:dyDescent="0.25">
      <c r="G451" s="20"/>
    </row>
    <row r="452" spans="7:7" ht="13.5" customHeight="1" x14ac:dyDescent="0.25">
      <c r="G452" s="20"/>
    </row>
    <row r="453" spans="7:7" ht="13.5" customHeight="1" x14ac:dyDescent="0.25">
      <c r="G453" s="20"/>
    </row>
    <row r="454" spans="7:7" ht="13.5" customHeight="1" x14ac:dyDescent="0.25">
      <c r="G454" s="20"/>
    </row>
    <row r="455" spans="7:7" ht="13.5" customHeight="1" x14ac:dyDescent="0.25">
      <c r="G455" s="20"/>
    </row>
    <row r="456" spans="7:7" ht="13.5" customHeight="1" x14ac:dyDescent="0.25">
      <c r="G456" s="20"/>
    </row>
    <row r="457" spans="7:7" ht="13.5" customHeight="1" x14ac:dyDescent="0.25">
      <c r="G457" s="20"/>
    </row>
    <row r="458" spans="7:7" ht="13.5" customHeight="1" x14ac:dyDescent="0.25">
      <c r="G458" s="20"/>
    </row>
    <row r="459" spans="7:7" ht="13.5" customHeight="1" x14ac:dyDescent="0.25">
      <c r="G459" s="20"/>
    </row>
    <row r="460" spans="7:7" ht="13.5" customHeight="1" x14ac:dyDescent="0.25">
      <c r="G460" s="20"/>
    </row>
    <row r="461" spans="7:7" ht="13.5" customHeight="1" x14ac:dyDescent="0.25">
      <c r="G461" s="20"/>
    </row>
    <row r="462" spans="7:7" ht="13.5" customHeight="1" x14ac:dyDescent="0.25">
      <c r="G462" s="20"/>
    </row>
    <row r="463" spans="7:7" ht="13.5" customHeight="1" x14ac:dyDescent="0.25">
      <c r="G463" s="20"/>
    </row>
    <row r="464" spans="7:7" ht="13.5" customHeight="1" x14ac:dyDescent="0.25">
      <c r="G464" s="20"/>
    </row>
    <row r="465" spans="7:7" ht="13.5" customHeight="1" x14ac:dyDescent="0.25">
      <c r="G465" s="20"/>
    </row>
    <row r="466" spans="7:7" ht="13.5" customHeight="1" x14ac:dyDescent="0.25">
      <c r="G466" s="20"/>
    </row>
    <row r="467" spans="7:7" ht="13.5" customHeight="1" x14ac:dyDescent="0.25">
      <c r="G467" s="20"/>
    </row>
    <row r="468" spans="7:7" ht="13.5" customHeight="1" x14ac:dyDescent="0.25">
      <c r="G468" s="20"/>
    </row>
    <row r="469" spans="7:7" ht="13.5" customHeight="1" x14ac:dyDescent="0.25">
      <c r="G469" s="20"/>
    </row>
    <row r="470" spans="7:7" ht="13.5" customHeight="1" x14ac:dyDescent="0.25">
      <c r="G470" s="20"/>
    </row>
    <row r="471" spans="7:7" ht="13.5" customHeight="1" x14ac:dyDescent="0.25">
      <c r="G471" s="20"/>
    </row>
    <row r="472" spans="7:7" ht="13.5" customHeight="1" x14ac:dyDescent="0.25">
      <c r="G472" s="20"/>
    </row>
    <row r="473" spans="7:7" ht="13.5" customHeight="1" x14ac:dyDescent="0.25">
      <c r="G473" s="20"/>
    </row>
    <row r="474" spans="7:7" ht="13.5" customHeight="1" x14ac:dyDescent="0.25">
      <c r="G474" s="20"/>
    </row>
    <row r="475" spans="7:7" ht="13.5" customHeight="1" x14ac:dyDescent="0.25">
      <c r="G475" s="20"/>
    </row>
    <row r="476" spans="7:7" ht="13.5" customHeight="1" x14ac:dyDescent="0.25">
      <c r="G476" s="20"/>
    </row>
    <row r="477" spans="7:7" ht="13.5" customHeight="1" x14ac:dyDescent="0.25">
      <c r="G477" s="20"/>
    </row>
    <row r="478" spans="7:7" ht="13.5" customHeight="1" x14ac:dyDescent="0.25">
      <c r="G478" s="20"/>
    </row>
    <row r="479" spans="7:7" ht="13.5" customHeight="1" x14ac:dyDescent="0.25">
      <c r="G479" s="20"/>
    </row>
    <row r="480" spans="7:7" ht="13.5" customHeight="1" x14ac:dyDescent="0.25">
      <c r="G480" s="20"/>
    </row>
    <row r="481" spans="7:7" ht="13.5" customHeight="1" x14ac:dyDescent="0.25">
      <c r="G481" s="20"/>
    </row>
    <row r="482" spans="7:7" ht="13.5" customHeight="1" x14ac:dyDescent="0.25">
      <c r="G482" s="20"/>
    </row>
    <row r="483" spans="7:7" ht="13.5" customHeight="1" x14ac:dyDescent="0.25">
      <c r="G483" s="20"/>
    </row>
    <row r="484" spans="7:7" ht="13.5" customHeight="1" x14ac:dyDescent="0.25">
      <c r="G484" s="20"/>
    </row>
    <row r="485" spans="7:7" ht="13.5" customHeight="1" x14ac:dyDescent="0.25">
      <c r="G485" s="20"/>
    </row>
    <row r="486" spans="7:7" ht="13.5" customHeight="1" x14ac:dyDescent="0.25">
      <c r="G486" s="20"/>
    </row>
    <row r="487" spans="7:7" ht="13.5" customHeight="1" x14ac:dyDescent="0.25">
      <c r="G487" s="20"/>
    </row>
    <row r="488" spans="7:7" ht="13.5" customHeight="1" x14ac:dyDescent="0.25">
      <c r="G488" s="20"/>
    </row>
    <row r="489" spans="7:7" ht="13.5" customHeight="1" x14ac:dyDescent="0.25">
      <c r="G489" s="20"/>
    </row>
    <row r="490" spans="7:7" ht="13.5" customHeight="1" x14ac:dyDescent="0.25">
      <c r="G490" s="20"/>
    </row>
    <row r="491" spans="7:7" ht="13.5" customHeight="1" x14ac:dyDescent="0.25">
      <c r="G491" s="20"/>
    </row>
    <row r="492" spans="7:7" ht="13.5" customHeight="1" x14ac:dyDescent="0.25">
      <c r="G492" s="20"/>
    </row>
    <row r="493" spans="7:7" ht="13.5" customHeight="1" x14ac:dyDescent="0.25">
      <c r="G493" s="20"/>
    </row>
    <row r="494" spans="7:7" ht="13.5" customHeight="1" x14ac:dyDescent="0.25">
      <c r="G494" s="20"/>
    </row>
    <row r="495" spans="7:7" ht="13.5" customHeight="1" x14ac:dyDescent="0.25">
      <c r="G495" s="20"/>
    </row>
    <row r="496" spans="7:7" ht="13.5" customHeight="1" x14ac:dyDescent="0.25">
      <c r="G496" s="20"/>
    </row>
    <row r="497" spans="7:7" ht="13.5" customHeight="1" x14ac:dyDescent="0.25">
      <c r="G497" s="20"/>
    </row>
    <row r="498" spans="7:7" ht="13.5" customHeight="1" x14ac:dyDescent="0.25">
      <c r="G498" s="20"/>
    </row>
    <row r="499" spans="7:7" ht="13.5" customHeight="1" x14ac:dyDescent="0.25">
      <c r="G499" s="20"/>
    </row>
    <row r="500" spans="7:7" ht="13.5" customHeight="1" x14ac:dyDescent="0.25">
      <c r="G500" s="20"/>
    </row>
    <row r="501" spans="7:7" ht="13.5" customHeight="1" x14ac:dyDescent="0.25">
      <c r="G501" s="20"/>
    </row>
    <row r="502" spans="7:7" ht="13.5" customHeight="1" x14ac:dyDescent="0.25">
      <c r="G502" s="20"/>
    </row>
    <row r="503" spans="7:7" ht="13.5" customHeight="1" x14ac:dyDescent="0.25">
      <c r="G503" s="20"/>
    </row>
    <row r="504" spans="7:7" ht="13.5" customHeight="1" x14ac:dyDescent="0.25">
      <c r="G504" s="20"/>
    </row>
    <row r="505" spans="7:7" ht="13.5" customHeight="1" x14ac:dyDescent="0.25">
      <c r="G505" s="20"/>
    </row>
    <row r="506" spans="7:7" ht="13.5" customHeight="1" x14ac:dyDescent="0.25">
      <c r="G506" s="20"/>
    </row>
    <row r="507" spans="7:7" ht="13.5" customHeight="1" x14ac:dyDescent="0.25">
      <c r="G507" s="20"/>
    </row>
    <row r="508" spans="7:7" ht="13.5" customHeight="1" x14ac:dyDescent="0.25">
      <c r="G508" s="20"/>
    </row>
    <row r="509" spans="7:7" ht="13.5" customHeight="1" x14ac:dyDescent="0.25">
      <c r="G509" s="20"/>
    </row>
    <row r="510" spans="7:7" ht="13.5" customHeight="1" x14ac:dyDescent="0.25">
      <c r="G510" s="20"/>
    </row>
    <row r="511" spans="7:7" ht="13.5" customHeight="1" x14ac:dyDescent="0.25">
      <c r="G511" s="20"/>
    </row>
    <row r="512" spans="7:7" ht="13.5" customHeight="1" x14ac:dyDescent="0.25">
      <c r="G512" s="20"/>
    </row>
    <row r="513" spans="7:7" ht="13.5" customHeight="1" x14ac:dyDescent="0.25">
      <c r="G513" s="20"/>
    </row>
    <row r="514" spans="7:7" ht="13.5" customHeight="1" x14ac:dyDescent="0.25">
      <c r="G514" s="20"/>
    </row>
    <row r="515" spans="7:7" ht="13.5" customHeight="1" x14ac:dyDescent="0.25">
      <c r="G515" s="20"/>
    </row>
    <row r="516" spans="7:7" ht="13.5" customHeight="1" x14ac:dyDescent="0.25">
      <c r="G516" s="20"/>
    </row>
    <row r="517" spans="7:7" ht="13.5" customHeight="1" x14ac:dyDescent="0.25">
      <c r="G517" s="20"/>
    </row>
    <row r="518" spans="7:7" ht="13.5" customHeight="1" x14ac:dyDescent="0.25">
      <c r="G518" s="20"/>
    </row>
    <row r="519" spans="7:7" ht="13.5" customHeight="1" x14ac:dyDescent="0.25">
      <c r="G519" s="20"/>
    </row>
    <row r="520" spans="7:7" ht="13.5" customHeight="1" x14ac:dyDescent="0.25">
      <c r="G520" s="20"/>
    </row>
    <row r="521" spans="7:7" ht="13.5" customHeight="1" x14ac:dyDescent="0.25">
      <c r="G521" s="20"/>
    </row>
    <row r="522" spans="7:7" ht="13.5" customHeight="1" x14ac:dyDescent="0.25">
      <c r="G522" s="20"/>
    </row>
    <row r="523" spans="7:7" ht="13.5" customHeight="1" x14ac:dyDescent="0.25">
      <c r="G523" s="20"/>
    </row>
    <row r="524" spans="7:7" ht="13.5" customHeight="1" x14ac:dyDescent="0.25">
      <c r="G524" s="20"/>
    </row>
    <row r="525" spans="7:7" ht="13.5" customHeight="1" x14ac:dyDescent="0.25">
      <c r="G525" s="20"/>
    </row>
    <row r="526" spans="7:7" ht="13.5" customHeight="1" x14ac:dyDescent="0.25">
      <c r="G526" s="20"/>
    </row>
    <row r="527" spans="7:7" ht="13.5" customHeight="1" x14ac:dyDescent="0.25">
      <c r="G527" s="20"/>
    </row>
    <row r="528" spans="7:7" ht="13.5" customHeight="1" x14ac:dyDescent="0.25">
      <c r="G528" s="20"/>
    </row>
    <row r="529" spans="7:7" ht="13.5" customHeight="1" x14ac:dyDescent="0.25">
      <c r="G529" s="20"/>
    </row>
    <row r="530" spans="7:7" ht="13.5" customHeight="1" x14ac:dyDescent="0.25">
      <c r="G530" s="20"/>
    </row>
    <row r="531" spans="7:7" ht="13.5" customHeight="1" x14ac:dyDescent="0.25">
      <c r="G531" s="20"/>
    </row>
    <row r="532" spans="7:7" ht="13.5" customHeight="1" x14ac:dyDescent="0.25">
      <c r="G532" s="20"/>
    </row>
    <row r="533" spans="7:7" ht="13.5" customHeight="1" x14ac:dyDescent="0.25">
      <c r="G533" s="20"/>
    </row>
    <row r="534" spans="7:7" ht="13.5" customHeight="1" x14ac:dyDescent="0.25">
      <c r="G534" s="20"/>
    </row>
    <row r="535" spans="7:7" ht="13.5" customHeight="1" x14ac:dyDescent="0.25">
      <c r="G535" s="20"/>
    </row>
    <row r="536" spans="7:7" ht="13.5" customHeight="1" x14ac:dyDescent="0.25">
      <c r="G536" s="20"/>
    </row>
    <row r="537" spans="7:7" ht="13.5" customHeight="1" x14ac:dyDescent="0.25">
      <c r="G537" s="20"/>
    </row>
    <row r="538" spans="7:7" ht="13.5" customHeight="1" x14ac:dyDescent="0.25">
      <c r="G538" s="20"/>
    </row>
    <row r="539" spans="7:7" ht="13.5" customHeight="1" x14ac:dyDescent="0.25">
      <c r="G539" s="20"/>
    </row>
    <row r="540" spans="7:7" ht="13.5" customHeight="1" x14ac:dyDescent="0.25">
      <c r="G540" s="20"/>
    </row>
    <row r="541" spans="7:7" ht="13.5" customHeight="1" x14ac:dyDescent="0.25">
      <c r="G541" s="20"/>
    </row>
    <row r="542" spans="7:7" ht="13.5" customHeight="1" x14ac:dyDescent="0.25">
      <c r="G542" s="20"/>
    </row>
    <row r="543" spans="7:7" ht="13.5" customHeight="1" x14ac:dyDescent="0.25">
      <c r="G543" s="20"/>
    </row>
    <row r="544" spans="7:7" ht="13.5" customHeight="1" x14ac:dyDescent="0.25">
      <c r="G544" s="20"/>
    </row>
    <row r="545" spans="7:7" ht="13.5" customHeight="1" x14ac:dyDescent="0.25">
      <c r="G545" s="20"/>
    </row>
    <row r="546" spans="7:7" ht="13.5" customHeight="1" x14ac:dyDescent="0.25">
      <c r="G546" s="20"/>
    </row>
    <row r="547" spans="7:7" ht="13.5" customHeight="1" x14ac:dyDescent="0.25">
      <c r="G547" s="20"/>
    </row>
    <row r="548" spans="7:7" ht="13.5" customHeight="1" x14ac:dyDescent="0.25">
      <c r="G548" s="20"/>
    </row>
    <row r="549" spans="7:7" ht="13.5" customHeight="1" x14ac:dyDescent="0.25">
      <c r="G549" s="20"/>
    </row>
    <row r="550" spans="7:7" ht="13.5" customHeight="1" x14ac:dyDescent="0.25">
      <c r="G550" s="20"/>
    </row>
    <row r="551" spans="7:7" ht="13.5" customHeight="1" x14ac:dyDescent="0.25">
      <c r="G551" s="20"/>
    </row>
    <row r="552" spans="7:7" ht="13.5" customHeight="1" x14ac:dyDescent="0.25">
      <c r="G552" s="20"/>
    </row>
    <row r="553" spans="7:7" ht="13.5" customHeight="1" x14ac:dyDescent="0.25">
      <c r="G553" s="20"/>
    </row>
    <row r="554" spans="7:7" ht="13.5" customHeight="1" x14ac:dyDescent="0.25">
      <c r="G554" s="20"/>
    </row>
    <row r="555" spans="7:7" ht="13.5" customHeight="1" x14ac:dyDescent="0.25">
      <c r="G555" s="20"/>
    </row>
    <row r="556" spans="7:7" ht="13.5" customHeight="1" x14ac:dyDescent="0.25">
      <c r="G556" s="20"/>
    </row>
    <row r="557" spans="7:7" ht="13.5" customHeight="1" x14ac:dyDescent="0.25">
      <c r="G557" s="20"/>
    </row>
    <row r="558" spans="7:7" ht="13.5" customHeight="1" x14ac:dyDescent="0.25">
      <c r="G558" s="20"/>
    </row>
    <row r="559" spans="7:7" ht="13.5" customHeight="1" x14ac:dyDescent="0.25">
      <c r="G559" s="20"/>
    </row>
    <row r="560" spans="7:7" ht="13.5" customHeight="1" x14ac:dyDescent="0.25">
      <c r="G560" s="20"/>
    </row>
    <row r="561" spans="7:7" ht="13.5" customHeight="1" x14ac:dyDescent="0.25">
      <c r="G561" s="20"/>
    </row>
    <row r="562" spans="7:7" ht="13.5" customHeight="1" x14ac:dyDescent="0.25">
      <c r="G562" s="20"/>
    </row>
    <row r="563" spans="7:7" ht="13.5" customHeight="1" x14ac:dyDescent="0.25">
      <c r="G563" s="20"/>
    </row>
    <row r="564" spans="7:7" ht="13.5" customHeight="1" x14ac:dyDescent="0.25">
      <c r="G564" s="20"/>
    </row>
    <row r="565" spans="7:7" ht="13.5" customHeight="1" x14ac:dyDescent="0.25">
      <c r="G565" s="20"/>
    </row>
    <row r="566" spans="7:7" ht="13.5" customHeight="1" x14ac:dyDescent="0.25">
      <c r="G566" s="20"/>
    </row>
    <row r="567" spans="7:7" ht="13.5" customHeight="1" x14ac:dyDescent="0.25">
      <c r="G567" s="20"/>
    </row>
    <row r="568" spans="7:7" ht="13.5" customHeight="1" x14ac:dyDescent="0.25">
      <c r="G568" s="20"/>
    </row>
    <row r="569" spans="7:7" ht="13.5" customHeight="1" x14ac:dyDescent="0.25">
      <c r="G569" s="20"/>
    </row>
    <row r="570" spans="7:7" ht="13.5" customHeight="1" x14ac:dyDescent="0.25">
      <c r="G570" s="20"/>
    </row>
    <row r="571" spans="7:7" ht="13.5" customHeight="1" x14ac:dyDescent="0.25">
      <c r="G571" s="20"/>
    </row>
    <row r="572" spans="7:7" ht="13.5" customHeight="1" x14ac:dyDescent="0.25">
      <c r="G572" s="20"/>
    </row>
    <row r="573" spans="7:7" ht="13.5" customHeight="1" x14ac:dyDescent="0.25">
      <c r="G573" s="20"/>
    </row>
    <row r="574" spans="7:7" ht="13.5" customHeight="1" x14ac:dyDescent="0.25">
      <c r="G574" s="20"/>
    </row>
    <row r="575" spans="7:7" ht="13.5" customHeight="1" x14ac:dyDescent="0.25">
      <c r="G575" s="20"/>
    </row>
    <row r="576" spans="7:7" ht="13.5" customHeight="1" x14ac:dyDescent="0.25">
      <c r="G576" s="20"/>
    </row>
    <row r="577" spans="7:7" ht="13.5" customHeight="1" x14ac:dyDescent="0.25">
      <c r="G577" s="20"/>
    </row>
    <row r="578" spans="7:7" ht="13.5" customHeight="1" x14ac:dyDescent="0.25">
      <c r="G578" s="20"/>
    </row>
    <row r="579" spans="7:7" ht="13.5" customHeight="1" x14ac:dyDescent="0.25">
      <c r="G579" s="20"/>
    </row>
    <row r="580" spans="7:7" ht="13.5" customHeight="1" x14ac:dyDescent="0.25">
      <c r="G580" s="20"/>
    </row>
    <row r="581" spans="7:7" ht="13.5" customHeight="1" x14ac:dyDescent="0.25">
      <c r="G581" s="20"/>
    </row>
    <row r="582" spans="7:7" ht="13.5" customHeight="1" x14ac:dyDescent="0.25">
      <c r="G582" s="20"/>
    </row>
    <row r="583" spans="7:7" ht="13.5" customHeight="1" x14ac:dyDescent="0.25">
      <c r="G583" s="20"/>
    </row>
    <row r="584" spans="7:7" ht="13.5" customHeight="1" x14ac:dyDescent="0.25">
      <c r="G584" s="20"/>
    </row>
    <row r="585" spans="7:7" ht="13.5" customHeight="1" x14ac:dyDescent="0.25">
      <c r="G585" s="20"/>
    </row>
    <row r="586" spans="7:7" ht="13.5" customHeight="1" x14ac:dyDescent="0.25">
      <c r="G586" s="20"/>
    </row>
    <row r="587" spans="7:7" ht="13.5" customHeight="1" x14ac:dyDescent="0.25">
      <c r="G587" s="20"/>
    </row>
    <row r="588" spans="7:7" ht="13.5" customHeight="1" x14ac:dyDescent="0.25">
      <c r="G588" s="20"/>
    </row>
    <row r="589" spans="7:7" ht="13.5" customHeight="1" x14ac:dyDescent="0.25">
      <c r="G589" s="20"/>
    </row>
    <row r="590" spans="7:7" ht="13.5" customHeight="1" x14ac:dyDescent="0.25">
      <c r="G590" s="20"/>
    </row>
    <row r="591" spans="7:7" ht="13.5" customHeight="1" x14ac:dyDescent="0.25">
      <c r="G591" s="20"/>
    </row>
    <row r="592" spans="7:7" ht="13.5" customHeight="1" x14ac:dyDescent="0.25">
      <c r="G592" s="20"/>
    </row>
    <row r="593" spans="7:7" ht="13.5" customHeight="1" x14ac:dyDescent="0.25">
      <c r="G593" s="20"/>
    </row>
    <row r="594" spans="7:7" ht="13.5" customHeight="1" x14ac:dyDescent="0.25">
      <c r="G594" s="20"/>
    </row>
    <row r="595" spans="7:7" ht="13.5" customHeight="1" x14ac:dyDescent="0.25">
      <c r="G595" s="20"/>
    </row>
    <row r="596" spans="7:7" ht="13.5" customHeight="1" x14ac:dyDescent="0.25">
      <c r="G596" s="20"/>
    </row>
    <row r="597" spans="7:7" ht="13.5" customHeight="1" x14ac:dyDescent="0.25">
      <c r="G597" s="20"/>
    </row>
    <row r="598" spans="7:7" ht="13.5" customHeight="1" x14ac:dyDescent="0.25">
      <c r="G598" s="20"/>
    </row>
    <row r="599" spans="7:7" ht="13.5" customHeight="1" x14ac:dyDescent="0.25">
      <c r="G599" s="20"/>
    </row>
    <row r="600" spans="7:7" ht="13.5" customHeight="1" x14ac:dyDescent="0.25">
      <c r="G600" s="20"/>
    </row>
    <row r="601" spans="7:7" ht="13.5" customHeight="1" x14ac:dyDescent="0.25">
      <c r="G601" s="20"/>
    </row>
    <row r="602" spans="7:7" ht="13.5" customHeight="1" x14ac:dyDescent="0.25">
      <c r="G602" s="20"/>
    </row>
    <row r="603" spans="7:7" ht="13.5" customHeight="1" x14ac:dyDescent="0.25">
      <c r="G603" s="20"/>
    </row>
    <row r="604" spans="7:7" ht="13.5" customHeight="1" x14ac:dyDescent="0.25">
      <c r="G604" s="20"/>
    </row>
    <row r="605" spans="7:7" ht="13.5" customHeight="1" x14ac:dyDescent="0.25">
      <c r="G605" s="20"/>
    </row>
    <row r="606" spans="7:7" ht="13.5" customHeight="1" x14ac:dyDescent="0.25">
      <c r="G606" s="20"/>
    </row>
    <row r="607" spans="7:7" ht="13.5" customHeight="1" x14ac:dyDescent="0.25">
      <c r="G607" s="20"/>
    </row>
    <row r="608" spans="7:7" ht="13.5" customHeight="1" x14ac:dyDescent="0.25">
      <c r="G608" s="20"/>
    </row>
    <row r="609" spans="7:7" ht="13.5" customHeight="1" x14ac:dyDescent="0.25">
      <c r="G609" s="20"/>
    </row>
    <row r="610" spans="7:7" ht="13.5" customHeight="1" x14ac:dyDescent="0.25">
      <c r="G610" s="20"/>
    </row>
    <row r="611" spans="7:7" ht="13.5" customHeight="1" x14ac:dyDescent="0.25">
      <c r="G611" s="20"/>
    </row>
    <row r="612" spans="7:7" ht="13.5" customHeight="1" x14ac:dyDescent="0.25">
      <c r="G612" s="20"/>
    </row>
    <row r="613" spans="7:7" ht="13.5" customHeight="1" x14ac:dyDescent="0.25">
      <c r="G613" s="20"/>
    </row>
    <row r="614" spans="7:7" ht="13.5" customHeight="1" x14ac:dyDescent="0.25">
      <c r="G614" s="20"/>
    </row>
    <row r="615" spans="7:7" ht="13.5" customHeight="1" x14ac:dyDescent="0.25">
      <c r="G615" s="20"/>
    </row>
    <row r="616" spans="7:7" ht="13.5" customHeight="1" x14ac:dyDescent="0.25">
      <c r="G616" s="20"/>
    </row>
    <row r="617" spans="7:7" ht="13.5" customHeight="1" x14ac:dyDescent="0.25">
      <c r="G617" s="20"/>
    </row>
    <row r="618" spans="7:7" ht="13.5" customHeight="1" x14ac:dyDescent="0.25">
      <c r="G618" s="20"/>
    </row>
    <row r="619" spans="7:7" ht="13.5" customHeight="1" x14ac:dyDescent="0.25">
      <c r="G619" s="20"/>
    </row>
    <row r="620" spans="7:7" ht="13.5" customHeight="1" x14ac:dyDescent="0.25">
      <c r="G620" s="20"/>
    </row>
    <row r="621" spans="7:7" ht="13.5" customHeight="1" x14ac:dyDescent="0.25">
      <c r="G621" s="20"/>
    </row>
    <row r="622" spans="7:7" ht="13.5" customHeight="1" x14ac:dyDescent="0.25">
      <c r="G622" s="20"/>
    </row>
    <row r="623" spans="7:7" ht="13.5" customHeight="1" x14ac:dyDescent="0.25">
      <c r="G623" s="20"/>
    </row>
    <row r="624" spans="7:7" ht="13.5" customHeight="1" x14ac:dyDescent="0.25">
      <c r="G624" s="20"/>
    </row>
    <row r="625" spans="7:7" ht="13.5" customHeight="1" x14ac:dyDescent="0.25">
      <c r="G625" s="20"/>
    </row>
    <row r="626" spans="7:7" ht="13.5" customHeight="1" x14ac:dyDescent="0.25">
      <c r="G626" s="20"/>
    </row>
    <row r="627" spans="7:7" ht="13.5" customHeight="1" x14ac:dyDescent="0.25">
      <c r="G627" s="20"/>
    </row>
    <row r="628" spans="7:7" ht="13.5" customHeight="1" x14ac:dyDescent="0.25">
      <c r="G628" s="20"/>
    </row>
    <row r="629" spans="7:7" ht="13.5" customHeight="1" x14ac:dyDescent="0.25">
      <c r="G629" s="20"/>
    </row>
    <row r="630" spans="7:7" ht="13.5" customHeight="1" x14ac:dyDescent="0.25">
      <c r="G630" s="20"/>
    </row>
    <row r="631" spans="7:7" ht="13.5" customHeight="1" x14ac:dyDescent="0.25">
      <c r="G631" s="20"/>
    </row>
    <row r="632" spans="7:7" ht="13.5" customHeight="1" x14ac:dyDescent="0.25">
      <c r="G632" s="20"/>
    </row>
    <row r="633" spans="7:7" ht="13.5" customHeight="1" x14ac:dyDescent="0.25">
      <c r="G633" s="20"/>
    </row>
    <row r="634" spans="7:7" ht="13.5" customHeight="1" x14ac:dyDescent="0.25">
      <c r="G634" s="20"/>
    </row>
    <row r="635" spans="7:7" ht="13.5" customHeight="1" x14ac:dyDescent="0.25">
      <c r="G635" s="20"/>
    </row>
    <row r="636" spans="7:7" ht="13.5" customHeight="1" x14ac:dyDescent="0.25">
      <c r="G636" s="20"/>
    </row>
    <row r="637" spans="7:7" ht="13.5" customHeight="1" x14ac:dyDescent="0.25">
      <c r="G637" s="20"/>
    </row>
    <row r="638" spans="7:7" ht="13.5" customHeight="1" x14ac:dyDescent="0.25">
      <c r="G638" s="20"/>
    </row>
    <row r="639" spans="7:7" ht="13.5" customHeight="1" x14ac:dyDescent="0.25">
      <c r="G639" s="20"/>
    </row>
    <row r="640" spans="7:7" ht="13.5" customHeight="1" x14ac:dyDescent="0.25">
      <c r="G640" s="20"/>
    </row>
    <row r="641" spans="7:7" ht="13.5" customHeight="1" x14ac:dyDescent="0.25">
      <c r="G641" s="20"/>
    </row>
    <row r="642" spans="7:7" ht="13.5" customHeight="1" x14ac:dyDescent="0.25">
      <c r="G642" s="20"/>
    </row>
    <row r="643" spans="7:7" ht="13.5" customHeight="1" x14ac:dyDescent="0.25">
      <c r="G643" s="20"/>
    </row>
    <row r="644" spans="7:7" ht="13.5" customHeight="1" x14ac:dyDescent="0.25">
      <c r="G644" s="20"/>
    </row>
    <row r="645" spans="7:7" ht="13.5" customHeight="1" x14ac:dyDescent="0.25">
      <c r="G645" s="20"/>
    </row>
    <row r="646" spans="7:7" ht="13.5" customHeight="1" x14ac:dyDescent="0.25">
      <c r="G646" s="20"/>
    </row>
    <row r="647" spans="7:7" ht="13.5" customHeight="1" x14ac:dyDescent="0.25">
      <c r="G647" s="20"/>
    </row>
    <row r="648" spans="7:7" ht="13.5" customHeight="1" x14ac:dyDescent="0.25">
      <c r="G648" s="20"/>
    </row>
    <row r="649" spans="7:7" ht="13.5" customHeight="1" x14ac:dyDescent="0.25">
      <c r="G649" s="20"/>
    </row>
    <row r="650" spans="7:7" ht="13.5" customHeight="1" x14ac:dyDescent="0.25">
      <c r="G650" s="20"/>
    </row>
    <row r="651" spans="7:7" ht="13.5" customHeight="1" x14ac:dyDescent="0.25">
      <c r="G651" s="20"/>
    </row>
    <row r="652" spans="7:7" ht="13.5" customHeight="1" x14ac:dyDescent="0.25">
      <c r="G652" s="20"/>
    </row>
    <row r="653" spans="7:7" ht="13.5" customHeight="1" x14ac:dyDescent="0.25">
      <c r="G653" s="20"/>
    </row>
    <row r="654" spans="7:7" ht="13.5" customHeight="1" x14ac:dyDescent="0.25">
      <c r="G654" s="20"/>
    </row>
    <row r="655" spans="7:7" ht="13.5" customHeight="1" x14ac:dyDescent="0.25">
      <c r="G655" s="20"/>
    </row>
    <row r="656" spans="7:7" ht="13.5" customHeight="1" x14ac:dyDescent="0.25">
      <c r="G656" s="20"/>
    </row>
    <row r="657" spans="7:7" ht="13.5" customHeight="1" x14ac:dyDescent="0.25">
      <c r="G657" s="20"/>
    </row>
    <row r="658" spans="7:7" ht="13.5" customHeight="1" x14ac:dyDescent="0.25">
      <c r="G658" s="20"/>
    </row>
    <row r="659" spans="7:7" ht="13.5" customHeight="1" x14ac:dyDescent="0.25">
      <c r="G659" s="20"/>
    </row>
    <row r="660" spans="7:7" ht="13.5" customHeight="1" x14ac:dyDescent="0.25">
      <c r="G660" s="20"/>
    </row>
    <row r="661" spans="7:7" ht="13.5" customHeight="1" x14ac:dyDescent="0.25">
      <c r="G661" s="20"/>
    </row>
    <row r="662" spans="7:7" ht="13.5" customHeight="1" x14ac:dyDescent="0.25">
      <c r="G662" s="20"/>
    </row>
    <row r="663" spans="7:7" ht="13.5" customHeight="1" x14ac:dyDescent="0.25">
      <c r="G663" s="20"/>
    </row>
    <row r="664" spans="7:7" ht="13.5" customHeight="1" x14ac:dyDescent="0.25">
      <c r="G664" s="20"/>
    </row>
    <row r="665" spans="7:7" ht="13.5" customHeight="1" x14ac:dyDescent="0.25">
      <c r="G665" s="20"/>
    </row>
    <row r="666" spans="7:7" ht="13.5" customHeight="1" x14ac:dyDescent="0.25">
      <c r="G666" s="20"/>
    </row>
    <row r="667" spans="7:7" ht="13.5" customHeight="1" x14ac:dyDescent="0.25">
      <c r="G667" s="20"/>
    </row>
    <row r="668" spans="7:7" ht="13.5" customHeight="1" x14ac:dyDescent="0.25">
      <c r="G668" s="20"/>
    </row>
    <row r="669" spans="7:7" ht="13.5" customHeight="1" x14ac:dyDescent="0.25">
      <c r="G669" s="20"/>
    </row>
    <row r="670" spans="7:7" ht="13.5" customHeight="1" x14ac:dyDescent="0.25">
      <c r="G670" s="20"/>
    </row>
    <row r="671" spans="7:7" ht="13.5" customHeight="1" x14ac:dyDescent="0.25">
      <c r="G671" s="20"/>
    </row>
    <row r="672" spans="7:7" ht="13.5" customHeight="1" x14ac:dyDescent="0.25">
      <c r="G672" s="20"/>
    </row>
    <row r="673" spans="7:7" ht="13.5" customHeight="1" x14ac:dyDescent="0.25">
      <c r="G673" s="20"/>
    </row>
    <row r="674" spans="7:7" ht="13.5" customHeight="1" x14ac:dyDescent="0.25">
      <c r="G674" s="20"/>
    </row>
    <row r="675" spans="7:7" ht="13.5" customHeight="1" x14ac:dyDescent="0.25">
      <c r="G675" s="20"/>
    </row>
    <row r="676" spans="7:7" ht="13.5" customHeight="1" x14ac:dyDescent="0.25">
      <c r="G676" s="20"/>
    </row>
    <row r="677" spans="7:7" ht="13.5" customHeight="1" x14ac:dyDescent="0.25">
      <c r="G677" s="20"/>
    </row>
    <row r="678" spans="7:7" ht="13.5" customHeight="1" x14ac:dyDescent="0.25">
      <c r="G678" s="20"/>
    </row>
    <row r="679" spans="7:7" ht="13.5" customHeight="1" x14ac:dyDescent="0.25">
      <c r="G679" s="20"/>
    </row>
    <row r="680" spans="7:7" ht="13.5" customHeight="1" x14ac:dyDescent="0.25">
      <c r="G680" s="20"/>
    </row>
    <row r="681" spans="7:7" ht="13.5" customHeight="1" x14ac:dyDescent="0.25">
      <c r="G681" s="20"/>
    </row>
    <row r="682" spans="7:7" ht="13.5" customHeight="1" x14ac:dyDescent="0.25">
      <c r="G682" s="20"/>
    </row>
    <row r="683" spans="7:7" ht="13.5" customHeight="1" x14ac:dyDescent="0.25">
      <c r="G683" s="20"/>
    </row>
    <row r="684" spans="7:7" ht="13.5" customHeight="1" x14ac:dyDescent="0.25">
      <c r="G684" s="20"/>
    </row>
    <row r="685" spans="7:7" ht="13.5" customHeight="1" x14ac:dyDescent="0.25">
      <c r="G685" s="20"/>
    </row>
    <row r="686" spans="7:7" ht="13.5" customHeight="1" x14ac:dyDescent="0.25">
      <c r="G686" s="20"/>
    </row>
    <row r="687" spans="7:7" ht="13.5" customHeight="1" x14ac:dyDescent="0.25">
      <c r="G687" s="20"/>
    </row>
    <row r="688" spans="7:7" ht="13.5" customHeight="1" x14ac:dyDescent="0.25">
      <c r="G688" s="20"/>
    </row>
    <row r="689" spans="7:7" ht="13.5" customHeight="1" x14ac:dyDescent="0.25">
      <c r="G689" s="20"/>
    </row>
    <row r="690" spans="7:7" ht="13.5" customHeight="1" x14ac:dyDescent="0.25">
      <c r="G690" s="20"/>
    </row>
    <row r="691" spans="7:7" ht="13.5" customHeight="1" x14ac:dyDescent="0.25">
      <c r="G691" s="20"/>
    </row>
    <row r="692" spans="7:7" ht="13.5" customHeight="1" x14ac:dyDescent="0.25">
      <c r="G692" s="20"/>
    </row>
    <row r="693" spans="7:7" ht="13.5" customHeight="1" x14ac:dyDescent="0.25">
      <c r="G693" s="20"/>
    </row>
    <row r="694" spans="7:7" ht="13.5" customHeight="1" x14ac:dyDescent="0.25">
      <c r="G694" s="20"/>
    </row>
    <row r="695" spans="7:7" ht="13.5" customHeight="1" x14ac:dyDescent="0.25">
      <c r="G695" s="20"/>
    </row>
    <row r="696" spans="7:7" ht="13.5" customHeight="1" x14ac:dyDescent="0.25">
      <c r="G696" s="20"/>
    </row>
    <row r="697" spans="7:7" ht="13.5" customHeight="1" x14ac:dyDescent="0.25">
      <c r="G697" s="20"/>
    </row>
    <row r="698" spans="7:7" ht="13.5" customHeight="1" x14ac:dyDescent="0.25">
      <c r="G698" s="20"/>
    </row>
    <row r="699" spans="7:7" ht="13.5" customHeight="1" x14ac:dyDescent="0.25">
      <c r="G699" s="20"/>
    </row>
    <row r="700" spans="7:7" ht="13.5" customHeight="1" x14ac:dyDescent="0.25">
      <c r="G700" s="20"/>
    </row>
    <row r="701" spans="7:7" ht="13.5" customHeight="1" x14ac:dyDescent="0.25">
      <c r="G701" s="20"/>
    </row>
    <row r="702" spans="7:7" ht="13.5" customHeight="1" x14ac:dyDescent="0.25">
      <c r="G702" s="20"/>
    </row>
    <row r="703" spans="7:7" ht="13.5" customHeight="1" x14ac:dyDescent="0.25">
      <c r="G703" s="20"/>
    </row>
    <row r="704" spans="7:7" ht="13.5" customHeight="1" x14ac:dyDescent="0.25">
      <c r="G704" s="20"/>
    </row>
    <row r="705" spans="7:7" ht="13.5" customHeight="1" x14ac:dyDescent="0.25">
      <c r="G705" s="20"/>
    </row>
    <row r="706" spans="7:7" ht="13.5" customHeight="1" x14ac:dyDescent="0.25">
      <c r="G706" s="20"/>
    </row>
    <row r="707" spans="7:7" ht="13.5" customHeight="1" x14ac:dyDescent="0.25">
      <c r="G707" s="20"/>
    </row>
    <row r="708" spans="7:7" ht="13.5" customHeight="1" x14ac:dyDescent="0.25">
      <c r="G708" s="20"/>
    </row>
    <row r="709" spans="7:7" ht="13.5" customHeight="1" x14ac:dyDescent="0.25">
      <c r="G709" s="20"/>
    </row>
    <row r="710" spans="7:7" ht="13.5" customHeight="1" x14ac:dyDescent="0.25">
      <c r="G710" s="20"/>
    </row>
    <row r="711" spans="7:7" ht="13.5" customHeight="1" x14ac:dyDescent="0.25">
      <c r="G711" s="20"/>
    </row>
    <row r="712" spans="7:7" ht="13.5" customHeight="1" x14ac:dyDescent="0.25">
      <c r="G712" s="20"/>
    </row>
    <row r="713" spans="7:7" ht="13.5" customHeight="1" x14ac:dyDescent="0.25">
      <c r="G713" s="20"/>
    </row>
    <row r="714" spans="7:7" ht="13.5" customHeight="1" x14ac:dyDescent="0.25">
      <c r="G714" s="20"/>
    </row>
    <row r="715" spans="7:7" ht="13.5" customHeight="1" x14ac:dyDescent="0.25">
      <c r="G715" s="20"/>
    </row>
    <row r="716" spans="7:7" ht="13.5" customHeight="1" x14ac:dyDescent="0.25">
      <c r="G716" s="20"/>
    </row>
    <row r="717" spans="7:7" ht="13.5" customHeight="1" x14ac:dyDescent="0.25">
      <c r="G717" s="20"/>
    </row>
    <row r="718" spans="7:7" ht="13.5" customHeight="1" x14ac:dyDescent="0.25">
      <c r="G718" s="20"/>
    </row>
    <row r="719" spans="7:7" ht="13.5" customHeight="1" x14ac:dyDescent="0.25">
      <c r="G719" s="20"/>
    </row>
    <row r="720" spans="7:7" ht="13.5" customHeight="1" x14ac:dyDescent="0.25">
      <c r="G720" s="20"/>
    </row>
    <row r="721" spans="7:7" ht="13.5" customHeight="1" x14ac:dyDescent="0.25">
      <c r="G721" s="20"/>
    </row>
    <row r="722" spans="7:7" ht="13.5" customHeight="1" x14ac:dyDescent="0.25">
      <c r="G722" s="20"/>
    </row>
    <row r="723" spans="7:7" ht="13.5" customHeight="1" x14ac:dyDescent="0.25">
      <c r="G723" s="20"/>
    </row>
    <row r="724" spans="7:7" ht="13.5" customHeight="1" x14ac:dyDescent="0.25">
      <c r="G724" s="20"/>
    </row>
    <row r="725" spans="7:7" ht="13.5" customHeight="1" x14ac:dyDescent="0.25">
      <c r="G725" s="20"/>
    </row>
    <row r="726" spans="7:7" ht="13.5" customHeight="1" x14ac:dyDescent="0.25">
      <c r="G726" s="20"/>
    </row>
    <row r="727" spans="7:7" ht="13.5" customHeight="1" x14ac:dyDescent="0.25">
      <c r="G727" s="20"/>
    </row>
    <row r="728" spans="7:7" ht="13.5" customHeight="1" x14ac:dyDescent="0.25">
      <c r="G728" s="20"/>
    </row>
    <row r="729" spans="7:7" ht="13.5" customHeight="1" x14ac:dyDescent="0.25">
      <c r="G729" s="20"/>
    </row>
    <row r="730" spans="7:7" ht="13.5" customHeight="1" x14ac:dyDescent="0.25">
      <c r="G730" s="20"/>
    </row>
    <row r="731" spans="7:7" ht="13.5" customHeight="1" x14ac:dyDescent="0.25">
      <c r="G731" s="20"/>
    </row>
    <row r="732" spans="7:7" ht="13.5" customHeight="1" x14ac:dyDescent="0.25">
      <c r="G732" s="20"/>
    </row>
    <row r="733" spans="7:7" ht="13.5" customHeight="1" x14ac:dyDescent="0.25">
      <c r="G733" s="20"/>
    </row>
    <row r="734" spans="7:7" ht="13.5" customHeight="1" x14ac:dyDescent="0.25">
      <c r="G734" s="20"/>
    </row>
    <row r="735" spans="7:7" ht="13.5" customHeight="1" x14ac:dyDescent="0.25">
      <c r="G735" s="20"/>
    </row>
    <row r="736" spans="7:7" ht="13.5" customHeight="1" x14ac:dyDescent="0.25">
      <c r="G736" s="20"/>
    </row>
    <row r="737" spans="7:7" ht="13.5" customHeight="1" x14ac:dyDescent="0.25">
      <c r="G737" s="20"/>
    </row>
    <row r="738" spans="7:7" ht="13.5" customHeight="1" x14ac:dyDescent="0.25">
      <c r="G738" s="20"/>
    </row>
    <row r="739" spans="7:7" ht="13.5" customHeight="1" x14ac:dyDescent="0.25">
      <c r="G739" s="20"/>
    </row>
    <row r="740" spans="7:7" ht="13.5" customHeight="1" x14ac:dyDescent="0.25">
      <c r="G740" s="20"/>
    </row>
    <row r="741" spans="7:7" ht="13.5" customHeight="1" x14ac:dyDescent="0.25">
      <c r="G741" s="20"/>
    </row>
    <row r="742" spans="7:7" ht="13.5" customHeight="1" x14ac:dyDescent="0.25">
      <c r="G742" s="20"/>
    </row>
    <row r="743" spans="7:7" ht="13.5" customHeight="1" x14ac:dyDescent="0.25">
      <c r="G743" s="20"/>
    </row>
    <row r="744" spans="7:7" ht="13.5" customHeight="1" x14ac:dyDescent="0.25">
      <c r="G744" s="20"/>
    </row>
    <row r="745" spans="7:7" ht="13.5" customHeight="1" x14ac:dyDescent="0.25">
      <c r="G745" s="20"/>
    </row>
    <row r="746" spans="7:7" ht="13.5" customHeight="1" x14ac:dyDescent="0.25">
      <c r="G746" s="20"/>
    </row>
    <row r="747" spans="7:7" ht="13.5" customHeight="1" x14ac:dyDescent="0.25">
      <c r="G747" s="20"/>
    </row>
    <row r="748" spans="7:7" ht="13.5" customHeight="1" x14ac:dyDescent="0.25">
      <c r="G748" s="20"/>
    </row>
    <row r="749" spans="7:7" ht="13.5" customHeight="1" x14ac:dyDescent="0.25">
      <c r="G749" s="20"/>
    </row>
    <row r="750" spans="7:7" ht="13.5" customHeight="1" x14ac:dyDescent="0.25">
      <c r="G750" s="20"/>
    </row>
    <row r="751" spans="7:7" ht="13.5" customHeight="1" x14ac:dyDescent="0.25">
      <c r="G751" s="20"/>
    </row>
    <row r="752" spans="7:7" ht="13.5" customHeight="1" x14ac:dyDescent="0.25">
      <c r="G752" s="20"/>
    </row>
    <row r="753" spans="7:7" ht="13.5" customHeight="1" x14ac:dyDescent="0.25">
      <c r="G753" s="20"/>
    </row>
    <row r="754" spans="7:7" ht="13.5" customHeight="1" x14ac:dyDescent="0.25">
      <c r="G754" s="20"/>
    </row>
    <row r="755" spans="7:7" ht="13.5" customHeight="1" x14ac:dyDescent="0.25">
      <c r="G755" s="20"/>
    </row>
    <row r="756" spans="7:7" ht="13.5" customHeight="1" x14ac:dyDescent="0.25">
      <c r="G756" s="20"/>
    </row>
    <row r="757" spans="7:7" ht="13.5" customHeight="1" x14ac:dyDescent="0.25">
      <c r="G757" s="20"/>
    </row>
    <row r="758" spans="7:7" ht="13.5" customHeight="1" x14ac:dyDescent="0.25">
      <c r="G758" s="20"/>
    </row>
    <row r="759" spans="7:7" ht="13.5" customHeight="1" x14ac:dyDescent="0.25">
      <c r="G759" s="20"/>
    </row>
    <row r="760" spans="7:7" ht="13.5" customHeight="1" x14ac:dyDescent="0.25">
      <c r="G760" s="20"/>
    </row>
    <row r="761" spans="7:7" ht="13.5" customHeight="1" x14ac:dyDescent="0.25">
      <c r="G761" s="20"/>
    </row>
    <row r="762" spans="7:7" ht="13.5" customHeight="1" x14ac:dyDescent="0.25">
      <c r="G762" s="20"/>
    </row>
    <row r="763" spans="7:7" ht="13.5" customHeight="1" x14ac:dyDescent="0.25">
      <c r="G763" s="20"/>
    </row>
    <row r="764" spans="7:7" ht="13.5" customHeight="1" x14ac:dyDescent="0.25">
      <c r="G764" s="20"/>
    </row>
    <row r="765" spans="7:7" ht="13.5" customHeight="1" x14ac:dyDescent="0.25">
      <c r="G765" s="20"/>
    </row>
    <row r="766" spans="7:7" ht="13.5" customHeight="1" x14ac:dyDescent="0.25">
      <c r="G766" s="20"/>
    </row>
    <row r="767" spans="7:7" ht="13.5" customHeight="1" x14ac:dyDescent="0.25">
      <c r="G767" s="20"/>
    </row>
    <row r="768" spans="7:7" ht="13.5" customHeight="1" x14ac:dyDescent="0.25">
      <c r="G768" s="20"/>
    </row>
    <row r="769" spans="7:7" ht="13.5" customHeight="1" x14ac:dyDescent="0.25">
      <c r="G769" s="20"/>
    </row>
    <row r="770" spans="7:7" ht="13.5" customHeight="1" x14ac:dyDescent="0.25">
      <c r="G770" s="20"/>
    </row>
    <row r="771" spans="7:7" ht="13.5" customHeight="1" x14ac:dyDescent="0.25">
      <c r="G771" s="20"/>
    </row>
    <row r="772" spans="7:7" ht="13.5" customHeight="1" x14ac:dyDescent="0.25">
      <c r="G772" s="20"/>
    </row>
    <row r="773" spans="7:7" ht="13.5" customHeight="1" x14ac:dyDescent="0.25">
      <c r="G773" s="20"/>
    </row>
    <row r="774" spans="7:7" ht="13.5" customHeight="1" x14ac:dyDescent="0.25">
      <c r="G774" s="20"/>
    </row>
    <row r="775" spans="7:7" ht="13.5" customHeight="1" x14ac:dyDescent="0.25">
      <c r="G775" s="20"/>
    </row>
    <row r="776" spans="7:7" ht="13.5" customHeight="1" x14ac:dyDescent="0.25">
      <c r="G776" s="20"/>
    </row>
    <row r="777" spans="7:7" ht="13.5" customHeight="1" x14ac:dyDescent="0.25">
      <c r="G777" s="20"/>
    </row>
    <row r="778" spans="7:7" ht="13.5" customHeight="1" x14ac:dyDescent="0.25">
      <c r="G778" s="20"/>
    </row>
    <row r="779" spans="7:7" ht="13.5" customHeight="1" x14ac:dyDescent="0.25">
      <c r="G779" s="20"/>
    </row>
    <row r="780" spans="7:7" ht="13.5" customHeight="1" x14ac:dyDescent="0.25">
      <c r="G780" s="20"/>
    </row>
    <row r="781" spans="7:7" ht="13.5" customHeight="1" x14ac:dyDescent="0.25">
      <c r="G781" s="20"/>
    </row>
    <row r="782" spans="7:7" ht="13.5" customHeight="1" x14ac:dyDescent="0.25">
      <c r="G782" s="20"/>
    </row>
    <row r="783" spans="7:7" ht="13.5" customHeight="1" x14ac:dyDescent="0.25">
      <c r="G783" s="20"/>
    </row>
    <row r="784" spans="7:7" ht="13.5" customHeight="1" x14ac:dyDescent="0.25">
      <c r="G784" s="20"/>
    </row>
    <row r="785" spans="7:7" ht="13.5" customHeight="1" x14ac:dyDescent="0.25">
      <c r="G785" s="20"/>
    </row>
    <row r="786" spans="7:7" ht="13.5" customHeight="1" x14ac:dyDescent="0.25">
      <c r="G786" s="20"/>
    </row>
    <row r="787" spans="7:7" ht="13.5" customHeight="1" x14ac:dyDescent="0.25">
      <c r="G787" s="20"/>
    </row>
    <row r="788" spans="7:7" ht="13.5" customHeight="1" x14ac:dyDescent="0.25">
      <c r="G788" s="20"/>
    </row>
    <row r="789" spans="7:7" ht="13.5" customHeight="1" x14ac:dyDescent="0.25">
      <c r="G789" s="20"/>
    </row>
    <row r="790" spans="7:7" ht="13.5" customHeight="1" x14ac:dyDescent="0.25">
      <c r="G790" s="20"/>
    </row>
    <row r="791" spans="7:7" ht="13.5" customHeight="1" x14ac:dyDescent="0.25">
      <c r="G791" s="20"/>
    </row>
    <row r="792" spans="7:7" ht="13.5" customHeight="1" x14ac:dyDescent="0.25">
      <c r="G792" s="20"/>
    </row>
    <row r="793" spans="7:7" ht="13.5" customHeight="1" x14ac:dyDescent="0.25">
      <c r="G793" s="20"/>
    </row>
    <row r="794" spans="7:7" ht="13.5" customHeight="1" x14ac:dyDescent="0.25">
      <c r="G794" s="20"/>
    </row>
    <row r="795" spans="7:7" ht="13.5" customHeight="1" x14ac:dyDescent="0.25">
      <c r="G795" s="20"/>
    </row>
    <row r="796" spans="7:7" ht="13.5" customHeight="1" x14ac:dyDescent="0.25">
      <c r="G796" s="20"/>
    </row>
    <row r="797" spans="7:7" ht="13.5" customHeight="1" x14ac:dyDescent="0.25">
      <c r="G797" s="20"/>
    </row>
    <row r="798" spans="7:7" ht="13.5" customHeight="1" x14ac:dyDescent="0.25">
      <c r="G798" s="20"/>
    </row>
    <row r="799" spans="7:7" ht="13.5" customHeight="1" x14ac:dyDescent="0.25">
      <c r="G799" s="20"/>
    </row>
    <row r="800" spans="7:7" ht="13.5" customHeight="1" x14ac:dyDescent="0.25">
      <c r="G800" s="20"/>
    </row>
    <row r="801" spans="7:7" ht="13.5" customHeight="1" x14ac:dyDescent="0.25">
      <c r="G801" s="20"/>
    </row>
    <row r="802" spans="7:7" ht="13.5" customHeight="1" x14ac:dyDescent="0.25">
      <c r="G802" s="20"/>
    </row>
    <row r="803" spans="7:7" ht="13.5" customHeight="1" x14ac:dyDescent="0.25">
      <c r="G803" s="20"/>
    </row>
    <row r="804" spans="7:7" ht="13.5" customHeight="1" x14ac:dyDescent="0.25">
      <c r="G804" s="20"/>
    </row>
    <row r="805" spans="7:7" ht="13.5" customHeight="1" x14ac:dyDescent="0.25">
      <c r="G805" s="20"/>
    </row>
    <row r="806" spans="7:7" ht="13.5" customHeight="1" x14ac:dyDescent="0.25">
      <c r="G806" s="20"/>
    </row>
    <row r="807" spans="7:7" ht="13.5" customHeight="1" x14ac:dyDescent="0.25">
      <c r="G807" s="20"/>
    </row>
    <row r="808" spans="7:7" ht="13.5" customHeight="1" x14ac:dyDescent="0.25">
      <c r="G808" s="20"/>
    </row>
    <row r="809" spans="7:7" ht="13.5" customHeight="1" x14ac:dyDescent="0.25">
      <c r="G809" s="20"/>
    </row>
    <row r="810" spans="7:7" ht="13.5" customHeight="1" x14ac:dyDescent="0.25">
      <c r="G810" s="20"/>
    </row>
    <row r="811" spans="7:7" ht="13.5" customHeight="1" x14ac:dyDescent="0.25">
      <c r="G811" s="20"/>
    </row>
    <row r="812" spans="7:7" ht="13.5" customHeight="1" x14ac:dyDescent="0.25">
      <c r="G812" s="20"/>
    </row>
    <row r="813" spans="7:7" ht="13.5" customHeight="1" x14ac:dyDescent="0.25">
      <c r="G813" s="20"/>
    </row>
    <row r="814" spans="7:7" ht="13.5" customHeight="1" x14ac:dyDescent="0.25">
      <c r="G814" s="20"/>
    </row>
    <row r="815" spans="7:7" ht="13.5" customHeight="1" x14ac:dyDescent="0.25">
      <c r="G815" s="20"/>
    </row>
    <row r="816" spans="7:7" ht="13.5" customHeight="1" x14ac:dyDescent="0.25">
      <c r="G816" s="20"/>
    </row>
    <row r="817" spans="7:7" ht="13.5" customHeight="1" x14ac:dyDescent="0.25">
      <c r="G817" s="20"/>
    </row>
    <row r="818" spans="7:7" ht="13.5" customHeight="1" x14ac:dyDescent="0.25">
      <c r="G818" s="20"/>
    </row>
    <row r="819" spans="7:7" ht="13.5" customHeight="1" x14ac:dyDescent="0.25">
      <c r="G819" s="20"/>
    </row>
    <row r="820" spans="7:7" ht="13.5" customHeight="1" x14ac:dyDescent="0.25">
      <c r="G820" s="20"/>
    </row>
    <row r="821" spans="7:7" ht="13.5" customHeight="1" x14ac:dyDescent="0.25">
      <c r="G821" s="20"/>
    </row>
    <row r="822" spans="7:7" ht="13.5" customHeight="1" x14ac:dyDescent="0.25">
      <c r="G822" s="20"/>
    </row>
    <row r="823" spans="7:7" ht="13.5" customHeight="1" x14ac:dyDescent="0.25">
      <c r="G823" s="20"/>
    </row>
    <row r="824" spans="7:7" ht="13.5" customHeight="1" x14ac:dyDescent="0.25">
      <c r="G824" s="20"/>
    </row>
    <row r="825" spans="7:7" ht="13.5" customHeight="1" x14ac:dyDescent="0.25">
      <c r="G825" s="20"/>
    </row>
    <row r="826" spans="7:7" ht="13.5" customHeight="1" x14ac:dyDescent="0.25">
      <c r="G826" s="20"/>
    </row>
    <row r="827" spans="7:7" ht="13.5" customHeight="1" x14ac:dyDescent="0.25">
      <c r="G827" s="20"/>
    </row>
    <row r="828" spans="7:7" ht="13.5" customHeight="1" x14ac:dyDescent="0.25">
      <c r="G828" s="20"/>
    </row>
    <row r="829" spans="7:7" ht="13.5" customHeight="1" x14ac:dyDescent="0.25">
      <c r="G829" s="20"/>
    </row>
    <row r="830" spans="7:7" ht="13.5" customHeight="1" x14ac:dyDescent="0.25">
      <c r="G830" s="20"/>
    </row>
    <row r="831" spans="7:7" ht="13.5" customHeight="1" x14ac:dyDescent="0.25">
      <c r="G831" s="20"/>
    </row>
    <row r="832" spans="7:7" ht="13.5" customHeight="1" x14ac:dyDescent="0.25">
      <c r="G832" s="20"/>
    </row>
    <row r="833" spans="7:7" ht="13.5" customHeight="1" x14ac:dyDescent="0.25">
      <c r="G833" s="20"/>
    </row>
    <row r="834" spans="7:7" ht="13.5" customHeight="1" x14ac:dyDescent="0.25">
      <c r="G834" s="20"/>
    </row>
    <row r="835" spans="7:7" ht="13.5" customHeight="1" x14ac:dyDescent="0.25">
      <c r="G835" s="20"/>
    </row>
    <row r="836" spans="7:7" ht="13.5" customHeight="1" x14ac:dyDescent="0.25">
      <c r="G836" s="20"/>
    </row>
    <row r="837" spans="7:7" ht="13.5" customHeight="1" x14ac:dyDescent="0.25">
      <c r="G837" s="20"/>
    </row>
    <row r="838" spans="7:7" ht="13.5" customHeight="1" x14ac:dyDescent="0.25">
      <c r="G838" s="20"/>
    </row>
    <row r="839" spans="7:7" ht="13.5" customHeight="1" x14ac:dyDescent="0.25">
      <c r="G839" s="20"/>
    </row>
    <row r="840" spans="7:7" ht="13.5" customHeight="1" x14ac:dyDescent="0.25">
      <c r="G840" s="20"/>
    </row>
    <row r="841" spans="7:7" ht="13.5" customHeight="1" x14ac:dyDescent="0.25">
      <c r="G841" s="20"/>
    </row>
    <row r="842" spans="7:7" ht="13.5" customHeight="1" x14ac:dyDescent="0.25">
      <c r="G842" s="20"/>
    </row>
    <row r="843" spans="7:7" ht="13.5" customHeight="1" x14ac:dyDescent="0.25">
      <c r="G843" s="20"/>
    </row>
    <row r="844" spans="7:7" ht="13.5" customHeight="1" x14ac:dyDescent="0.25">
      <c r="G844" s="20"/>
    </row>
    <row r="845" spans="7:7" ht="13.5" customHeight="1" x14ac:dyDescent="0.25">
      <c r="G845" s="20"/>
    </row>
    <row r="846" spans="7:7" ht="13.5" customHeight="1" x14ac:dyDescent="0.25">
      <c r="G846" s="20"/>
    </row>
    <row r="847" spans="7:7" ht="13.5" customHeight="1" x14ac:dyDescent="0.25">
      <c r="G847" s="20"/>
    </row>
    <row r="848" spans="7:7" ht="13.5" customHeight="1" x14ac:dyDescent="0.25">
      <c r="G848" s="20"/>
    </row>
    <row r="849" spans="7:7" ht="13.5" customHeight="1" x14ac:dyDescent="0.25">
      <c r="G849" s="20"/>
    </row>
    <row r="850" spans="7:7" ht="13.5" customHeight="1" x14ac:dyDescent="0.25">
      <c r="G850" s="20"/>
    </row>
    <row r="851" spans="7:7" ht="13.5" customHeight="1" x14ac:dyDescent="0.25">
      <c r="G851" s="20"/>
    </row>
    <row r="852" spans="7:7" ht="13.5" customHeight="1" x14ac:dyDescent="0.25">
      <c r="G852" s="20"/>
    </row>
    <row r="853" spans="7:7" ht="13.5" customHeight="1" x14ac:dyDescent="0.25">
      <c r="G853" s="20"/>
    </row>
    <row r="854" spans="7:7" ht="13.5" customHeight="1" x14ac:dyDescent="0.25">
      <c r="G854" s="20"/>
    </row>
    <row r="855" spans="7:7" ht="13.5" customHeight="1" x14ac:dyDescent="0.25">
      <c r="G855" s="20"/>
    </row>
    <row r="856" spans="7:7" ht="13.5" customHeight="1" x14ac:dyDescent="0.25">
      <c r="G856" s="20"/>
    </row>
    <row r="857" spans="7:7" ht="13.5" customHeight="1" x14ac:dyDescent="0.25">
      <c r="G857" s="20"/>
    </row>
    <row r="858" spans="7:7" ht="13.5" customHeight="1" x14ac:dyDescent="0.25">
      <c r="G858" s="20"/>
    </row>
    <row r="859" spans="7:7" ht="13.5" customHeight="1" x14ac:dyDescent="0.25">
      <c r="G859" s="20"/>
    </row>
    <row r="860" spans="7:7" ht="13.5" customHeight="1" x14ac:dyDescent="0.25">
      <c r="G860" s="20"/>
    </row>
    <row r="861" spans="7:7" ht="13.5" customHeight="1" x14ac:dyDescent="0.25">
      <c r="G861" s="20"/>
    </row>
    <row r="862" spans="7:7" ht="13.5" customHeight="1" x14ac:dyDescent="0.25">
      <c r="G862" s="20"/>
    </row>
    <row r="863" spans="7:7" ht="13.5" customHeight="1" x14ac:dyDescent="0.25">
      <c r="G863" s="20"/>
    </row>
    <row r="864" spans="7:7" ht="13.5" customHeight="1" x14ac:dyDescent="0.25">
      <c r="G864" s="20"/>
    </row>
    <row r="865" spans="7:7" ht="13.5" customHeight="1" x14ac:dyDescent="0.25">
      <c r="G865" s="20"/>
    </row>
    <row r="866" spans="7:7" ht="13.5" customHeight="1" x14ac:dyDescent="0.25">
      <c r="G866" s="20"/>
    </row>
    <row r="867" spans="7:7" ht="13.5" customHeight="1" x14ac:dyDescent="0.25">
      <c r="G867" s="20"/>
    </row>
    <row r="868" spans="7:7" ht="13.5" customHeight="1" x14ac:dyDescent="0.25">
      <c r="G868" s="20"/>
    </row>
    <row r="869" spans="7:7" ht="13.5" customHeight="1" x14ac:dyDescent="0.25">
      <c r="G869" s="20"/>
    </row>
    <row r="870" spans="7:7" ht="13.5" customHeight="1" x14ac:dyDescent="0.25">
      <c r="G870" s="20"/>
    </row>
    <row r="871" spans="7:7" ht="13.5" customHeight="1" x14ac:dyDescent="0.25">
      <c r="G871" s="20"/>
    </row>
    <row r="872" spans="7:7" ht="13.5" customHeight="1" x14ac:dyDescent="0.25">
      <c r="G872" s="20"/>
    </row>
    <row r="873" spans="7:7" ht="13.5" customHeight="1" x14ac:dyDescent="0.25">
      <c r="G873" s="20"/>
    </row>
    <row r="874" spans="7:7" ht="13.5" customHeight="1" x14ac:dyDescent="0.25">
      <c r="G874" s="20"/>
    </row>
    <row r="875" spans="7:7" ht="13.5" customHeight="1" x14ac:dyDescent="0.25">
      <c r="G875" s="20"/>
    </row>
    <row r="876" spans="7:7" ht="13.5" customHeight="1" x14ac:dyDescent="0.25">
      <c r="G876" s="20"/>
    </row>
    <row r="877" spans="7:7" ht="13.5" customHeight="1" x14ac:dyDescent="0.25">
      <c r="G877" s="20"/>
    </row>
    <row r="878" spans="7:7" ht="13.5" customHeight="1" x14ac:dyDescent="0.25">
      <c r="G878" s="20"/>
    </row>
    <row r="879" spans="7:7" ht="13.5" customHeight="1" x14ac:dyDescent="0.25">
      <c r="G879" s="20"/>
    </row>
    <row r="880" spans="7:7" ht="13.5" customHeight="1" x14ac:dyDescent="0.25">
      <c r="G880" s="20"/>
    </row>
    <row r="881" spans="7:7" ht="13.5" customHeight="1" x14ac:dyDescent="0.25">
      <c r="G881" s="20"/>
    </row>
    <row r="882" spans="7:7" ht="13.5" customHeight="1" x14ac:dyDescent="0.25">
      <c r="G882" s="20"/>
    </row>
    <row r="883" spans="7:7" ht="13.5" customHeight="1" x14ac:dyDescent="0.25">
      <c r="G883" s="20"/>
    </row>
    <row r="884" spans="7:7" ht="13.5" customHeight="1" x14ac:dyDescent="0.25">
      <c r="G884" s="20"/>
    </row>
    <row r="885" spans="7:7" ht="13.5" customHeight="1" x14ac:dyDescent="0.25">
      <c r="G885" s="20"/>
    </row>
    <row r="886" spans="7:7" ht="13.5" customHeight="1" x14ac:dyDescent="0.25">
      <c r="G886" s="20"/>
    </row>
    <row r="887" spans="7:7" ht="13.5" customHeight="1" x14ac:dyDescent="0.25">
      <c r="G887" s="20"/>
    </row>
    <row r="888" spans="7:7" ht="13.5" customHeight="1" x14ac:dyDescent="0.25">
      <c r="G888" s="20"/>
    </row>
    <row r="889" spans="7:7" ht="13.5" customHeight="1" x14ac:dyDescent="0.25">
      <c r="G889" s="20"/>
    </row>
    <row r="890" spans="7:7" ht="13.5" customHeight="1" x14ac:dyDescent="0.25">
      <c r="G890" s="20"/>
    </row>
    <row r="891" spans="7:7" ht="13.5" customHeight="1" x14ac:dyDescent="0.25">
      <c r="G891" s="20"/>
    </row>
    <row r="892" spans="7:7" ht="13.5" customHeight="1" x14ac:dyDescent="0.25">
      <c r="G892" s="20"/>
    </row>
    <row r="893" spans="7:7" ht="13.5" customHeight="1" x14ac:dyDescent="0.25">
      <c r="G893" s="20"/>
    </row>
    <row r="894" spans="7:7" ht="13.5" customHeight="1" x14ac:dyDescent="0.25">
      <c r="G894" s="20"/>
    </row>
    <row r="895" spans="7:7" ht="13.5" customHeight="1" x14ac:dyDescent="0.25">
      <c r="G895" s="20"/>
    </row>
    <row r="896" spans="7:7" ht="13.5" customHeight="1" x14ac:dyDescent="0.25">
      <c r="G896" s="20"/>
    </row>
    <row r="897" spans="7:7" ht="13.5" customHeight="1" x14ac:dyDescent="0.25">
      <c r="G897" s="20"/>
    </row>
    <row r="898" spans="7:7" ht="13.5" customHeight="1" x14ac:dyDescent="0.25">
      <c r="G898" s="20"/>
    </row>
    <row r="899" spans="7:7" ht="13.5" customHeight="1" x14ac:dyDescent="0.25">
      <c r="G899" s="20"/>
    </row>
    <row r="900" spans="7:7" ht="13.5" customHeight="1" x14ac:dyDescent="0.25">
      <c r="G900" s="20"/>
    </row>
    <row r="901" spans="7:7" ht="13.5" customHeight="1" x14ac:dyDescent="0.25">
      <c r="G901" s="20"/>
    </row>
    <row r="902" spans="7:7" ht="13.5" customHeight="1" x14ac:dyDescent="0.25">
      <c r="G902" s="20"/>
    </row>
    <row r="903" spans="7:7" ht="13.5" customHeight="1" x14ac:dyDescent="0.25">
      <c r="G903" s="20"/>
    </row>
    <row r="904" spans="7:7" ht="13.5" customHeight="1" x14ac:dyDescent="0.25">
      <c r="G904" s="20"/>
    </row>
    <row r="905" spans="7:7" ht="13.5" customHeight="1" x14ac:dyDescent="0.25">
      <c r="G905" s="20"/>
    </row>
    <row r="906" spans="7:7" ht="13.5" customHeight="1" x14ac:dyDescent="0.25">
      <c r="G906" s="20"/>
    </row>
    <row r="907" spans="7:7" ht="13.5" customHeight="1" x14ac:dyDescent="0.25">
      <c r="G907" s="20"/>
    </row>
    <row r="908" spans="7:7" ht="13.5" customHeight="1" x14ac:dyDescent="0.25">
      <c r="G908" s="20"/>
    </row>
    <row r="909" spans="7:7" ht="13.5" customHeight="1" x14ac:dyDescent="0.25">
      <c r="G909" s="20"/>
    </row>
    <row r="910" spans="7:7" ht="13.5" customHeight="1" x14ac:dyDescent="0.25">
      <c r="G910" s="20"/>
    </row>
    <row r="911" spans="7:7" ht="13.5" customHeight="1" x14ac:dyDescent="0.25">
      <c r="G911" s="20"/>
    </row>
    <row r="912" spans="7:7" ht="13.5" customHeight="1" x14ac:dyDescent="0.25">
      <c r="G912" s="20"/>
    </row>
    <row r="913" spans="7:7" ht="13.5" customHeight="1" x14ac:dyDescent="0.25">
      <c r="G913" s="20"/>
    </row>
    <row r="914" spans="7:7" ht="13.5" customHeight="1" x14ac:dyDescent="0.25">
      <c r="G914" s="20"/>
    </row>
    <row r="915" spans="7:7" ht="13.5" customHeight="1" x14ac:dyDescent="0.25">
      <c r="G915" s="20"/>
    </row>
    <row r="916" spans="7:7" ht="13.5" customHeight="1" x14ac:dyDescent="0.25">
      <c r="G916" s="20"/>
    </row>
    <row r="917" spans="7:7" ht="13.5" customHeight="1" x14ac:dyDescent="0.25">
      <c r="G917" s="20"/>
    </row>
    <row r="918" spans="7:7" ht="13.5" customHeight="1" x14ac:dyDescent="0.25">
      <c r="G918" s="20"/>
    </row>
    <row r="919" spans="7:7" ht="13.5" customHeight="1" x14ac:dyDescent="0.25">
      <c r="G919" s="20"/>
    </row>
    <row r="920" spans="7:7" ht="13.5" customHeight="1" x14ac:dyDescent="0.25">
      <c r="G920" s="20"/>
    </row>
    <row r="921" spans="7:7" ht="13.5" customHeight="1" x14ac:dyDescent="0.25">
      <c r="G921" s="20"/>
    </row>
    <row r="922" spans="7:7" ht="13.5" customHeight="1" x14ac:dyDescent="0.25">
      <c r="G922" s="20"/>
    </row>
    <row r="923" spans="7:7" ht="13.5" customHeight="1" x14ac:dyDescent="0.25">
      <c r="G923" s="20"/>
    </row>
    <row r="924" spans="7:7" ht="13.5" customHeight="1" x14ac:dyDescent="0.25">
      <c r="G924" s="20"/>
    </row>
    <row r="925" spans="7:7" ht="13.5" customHeight="1" x14ac:dyDescent="0.25">
      <c r="G925" s="20"/>
    </row>
    <row r="926" spans="7:7" ht="13.5" customHeight="1" x14ac:dyDescent="0.25">
      <c r="G926" s="20"/>
    </row>
    <row r="927" spans="7:7" ht="13.5" customHeight="1" x14ac:dyDescent="0.25">
      <c r="G927" s="20"/>
    </row>
    <row r="928" spans="7:7" ht="13.5" customHeight="1" x14ac:dyDescent="0.25">
      <c r="G928" s="20"/>
    </row>
    <row r="929" spans="7:7" ht="13.5" customHeight="1" x14ac:dyDescent="0.25">
      <c r="G929" s="20"/>
    </row>
    <row r="930" spans="7:7" ht="13.5" customHeight="1" x14ac:dyDescent="0.25">
      <c r="G930" s="20"/>
    </row>
    <row r="931" spans="7:7" ht="13.5" customHeight="1" x14ac:dyDescent="0.25">
      <c r="G931" s="20"/>
    </row>
    <row r="932" spans="7:7" ht="13.5" customHeight="1" x14ac:dyDescent="0.25">
      <c r="G932" s="20"/>
    </row>
    <row r="933" spans="7:7" ht="13.5" customHeight="1" x14ac:dyDescent="0.25">
      <c r="G933" s="20"/>
    </row>
    <row r="934" spans="7:7" ht="13.5" customHeight="1" x14ac:dyDescent="0.25">
      <c r="G934" s="20"/>
    </row>
    <row r="935" spans="7:7" ht="13.5" customHeight="1" x14ac:dyDescent="0.25">
      <c r="G935" s="20"/>
    </row>
    <row r="936" spans="7:7" ht="13.5" customHeight="1" x14ac:dyDescent="0.25">
      <c r="G936" s="20"/>
    </row>
    <row r="937" spans="7:7" ht="13.5" customHeight="1" x14ac:dyDescent="0.25">
      <c r="G937" s="20"/>
    </row>
    <row r="938" spans="7:7" ht="13.5" customHeight="1" x14ac:dyDescent="0.25">
      <c r="G938" s="20"/>
    </row>
    <row r="939" spans="7:7" ht="13.5" customHeight="1" x14ac:dyDescent="0.25">
      <c r="G939" s="20"/>
    </row>
    <row r="940" spans="7:7" ht="13.5" customHeight="1" x14ac:dyDescent="0.25">
      <c r="G940" s="20"/>
    </row>
    <row r="941" spans="7:7" ht="13.5" customHeight="1" x14ac:dyDescent="0.25">
      <c r="G941" s="20"/>
    </row>
    <row r="942" spans="7:7" ht="13.5" customHeight="1" x14ac:dyDescent="0.25">
      <c r="G942" s="20"/>
    </row>
    <row r="943" spans="7:7" ht="13.5" customHeight="1" x14ac:dyDescent="0.25">
      <c r="G943" s="20"/>
    </row>
    <row r="944" spans="7:7" ht="13.5" customHeight="1" x14ac:dyDescent="0.25">
      <c r="G944" s="20"/>
    </row>
    <row r="945" spans="7:7" ht="13.5" customHeight="1" x14ac:dyDescent="0.25">
      <c r="G945" s="20"/>
    </row>
    <row r="946" spans="7:7" ht="13.5" customHeight="1" x14ac:dyDescent="0.25">
      <c r="G946" s="20"/>
    </row>
    <row r="947" spans="7:7" ht="13.5" customHeight="1" x14ac:dyDescent="0.25">
      <c r="G947" s="20"/>
    </row>
    <row r="948" spans="7:7" ht="13.5" customHeight="1" x14ac:dyDescent="0.25">
      <c r="G948" s="20"/>
    </row>
    <row r="949" spans="7:7" ht="13.5" customHeight="1" x14ac:dyDescent="0.25">
      <c r="G949" s="20"/>
    </row>
    <row r="950" spans="7:7" ht="13.5" customHeight="1" x14ac:dyDescent="0.25">
      <c r="G950" s="20"/>
    </row>
    <row r="951" spans="7:7" ht="13.5" customHeight="1" x14ac:dyDescent="0.25">
      <c r="G951" s="20"/>
    </row>
    <row r="952" spans="7:7" ht="13.5" customHeight="1" x14ac:dyDescent="0.25">
      <c r="G952" s="20"/>
    </row>
    <row r="953" spans="7:7" ht="13.5" customHeight="1" x14ac:dyDescent="0.25">
      <c r="G953" s="20"/>
    </row>
    <row r="954" spans="7:7" ht="13.5" customHeight="1" x14ac:dyDescent="0.25">
      <c r="G954" s="20"/>
    </row>
    <row r="955" spans="7:7" ht="13.5" customHeight="1" x14ac:dyDescent="0.25">
      <c r="G955" s="20"/>
    </row>
    <row r="956" spans="7:7" ht="13.5" customHeight="1" x14ac:dyDescent="0.25">
      <c r="G956" s="20"/>
    </row>
    <row r="957" spans="7:7" ht="13.5" customHeight="1" x14ac:dyDescent="0.25">
      <c r="G957" s="20"/>
    </row>
    <row r="958" spans="7:7" ht="13.5" customHeight="1" x14ac:dyDescent="0.25">
      <c r="G958" s="20"/>
    </row>
    <row r="959" spans="7:7" ht="13.5" customHeight="1" x14ac:dyDescent="0.25">
      <c r="G959" s="20"/>
    </row>
    <row r="960" spans="7:7" ht="13.5" customHeight="1" x14ac:dyDescent="0.25">
      <c r="G960" s="20"/>
    </row>
    <row r="961" spans="7:7" ht="13.5" customHeight="1" x14ac:dyDescent="0.25">
      <c r="G961" s="20"/>
    </row>
    <row r="962" spans="7:7" ht="13.5" customHeight="1" x14ac:dyDescent="0.25">
      <c r="G962" s="20"/>
    </row>
    <row r="963" spans="7:7" ht="13.5" customHeight="1" x14ac:dyDescent="0.25">
      <c r="G963" s="20"/>
    </row>
    <row r="964" spans="7:7" ht="13.5" customHeight="1" x14ac:dyDescent="0.25">
      <c r="G964" s="20"/>
    </row>
    <row r="965" spans="7:7" ht="13.5" customHeight="1" x14ac:dyDescent="0.25">
      <c r="G965" s="20"/>
    </row>
    <row r="966" spans="7:7" ht="13.5" customHeight="1" x14ac:dyDescent="0.25">
      <c r="G966" s="20"/>
    </row>
    <row r="967" spans="7:7" ht="13.5" customHeight="1" x14ac:dyDescent="0.25">
      <c r="G967" s="20"/>
    </row>
    <row r="968" spans="7:7" ht="13.5" customHeight="1" x14ac:dyDescent="0.25">
      <c r="G968" s="20"/>
    </row>
    <row r="969" spans="7:7" ht="13.5" customHeight="1" x14ac:dyDescent="0.25">
      <c r="G969" s="20"/>
    </row>
    <row r="970" spans="7:7" ht="13.5" customHeight="1" x14ac:dyDescent="0.25">
      <c r="G970" s="20"/>
    </row>
    <row r="971" spans="7:7" ht="13.5" customHeight="1" x14ac:dyDescent="0.25">
      <c r="G971" s="20"/>
    </row>
    <row r="972" spans="7:7" ht="13.5" customHeight="1" x14ac:dyDescent="0.25">
      <c r="G972" s="20"/>
    </row>
    <row r="973" spans="7:7" ht="13.5" customHeight="1" x14ac:dyDescent="0.25">
      <c r="G973" s="20"/>
    </row>
    <row r="974" spans="7:7" ht="13.5" customHeight="1" x14ac:dyDescent="0.25">
      <c r="G974" s="20"/>
    </row>
    <row r="975" spans="7:7" ht="13.5" customHeight="1" x14ac:dyDescent="0.25">
      <c r="G975" s="20"/>
    </row>
    <row r="976" spans="7:7" ht="13.5" customHeight="1" x14ac:dyDescent="0.25">
      <c r="G976" s="20"/>
    </row>
    <row r="977" spans="7:7" ht="13.5" customHeight="1" x14ac:dyDescent="0.25">
      <c r="G977" s="20"/>
    </row>
    <row r="978" spans="7:7" ht="13.5" customHeight="1" x14ac:dyDescent="0.25">
      <c r="G978" s="20"/>
    </row>
    <row r="979" spans="7:7" ht="13.5" customHeight="1" x14ac:dyDescent="0.25">
      <c r="G979" s="20"/>
    </row>
    <row r="980" spans="7:7" ht="13.5" customHeight="1" x14ac:dyDescent="0.25">
      <c r="G980" s="20"/>
    </row>
    <row r="981" spans="7:7" ht="13.5" customHeight="1" x14ac:dyDescent="0.25">
      <c r="G981" s="20"/>
    </row>
    <row r="982" spans="7:7" ht="13.5" customHeight="1" x14ac:dyDescent="0.25">
      <c r="G982" s="20"/>
    </row>
    <row r="983" spans="7:7" ht="13.5" customHeight="1" x14ac:dyDescent="0.25">
      <c r="G983" s="20"/>
    </row>
    <row r="984" spans="7:7" ht="13.5" customHeight="1" x14ac:dyDescent="0.25">
      <c r="G984" s="20"/>
    </row>
    <row r="985" spans="7:7" ht="13.5" customHeight="1" x14ac:dyDescent="0.25">
      <c r="G985" s="20"/>
    </row>
    <row r="986" spans="7:7" ht="13.5" customHeight="1" x14ac:dyDescent="0.25">
      <c r="G986" s="20"/>
    </row>
    <row r="987" spans="7:7" ht="13.5" customHeight="1" x14ac:dyDescent="0.25">
      <c r="G987" s="20"/>
    </row>
    <row r="988" spans="7:7" ht="13.5" customHeight="1" x14ac:dyDescent="0.25">
      <c r="G988" s="20"/>
    </row>
    <row r="989" spans="7:7" ht="13.5" customHeight="1" x14ac:dyDescent="0.25">
      <c r="G989" s="20"/>
    </row>
    <row r="990" spans="7:7" ht="13.5" customHeight="1" x14ac:dyDescent="0.25">
      <c r="G990" s="20"/>
    </row>
    <row r="991" spans="7:7" ht="13.5" customHeight="1" x14ac:dyDescent="0.25">
      <c r="G991" s="20"/>
    </row>
    <row r="992" spans="7:7" ht="13.5" customHeight="1" x14ac:dyDescent="0.25">
      <c r="G992" s="20"/>
    </row>
    <row r="993" spans="7:7" ht="13.5" customHeight="1" x14ac:dyDescent="0.25">
      <c r="G993" s="20"/>
    </row>
    <row r="994" spans="7:7" ht="13.5" customHeight="1" x14ac:dyDescent="0.25">
      <c r="G994" s="20"/>
    </row>
    <row r="995" spans="7:7" ht="13.5" customHeight="1" x14ac:dyDescent="0.25">
      <c r="G995" s="20"/>
    </row>
    <row r="996" spans="7:7" ht="13.5" customHeight="1" x14ac:dyDescent="0.25">
      <c r="G996" s="20"/>
    </row>
    <row r="997" spans="7:7" ht="13.5" customHeight="1" x14ac:dyDescent="0.25">
      <c r="G997" s="20"/>
    </row>
    <row r="998" spans="7:7" ht="13.5" customHeight="1" x14ac:dyDescent="0.25">
      <c r="G998" s="20"/>
    </row>
    <row r="999" spans="7:7" ht="13.5" customHeight="1" x14ac:dyDescent="0.25">
      <c r="G999" s="20"/>
    </row>
    <row r="1000" spans="7:7" ht="13.5" customHeight="1" x14ac:dyDescent="0.25">
      <c r="G1000" s="20"/>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zoomScaleNormal="100" workbookViewId="0"/>
  </sheetViews>
  <sheetFormatPr defaultColWidth="12.59765625" defaultRowHeight="13.8" x14ac:dyDescent="0.25"/>
  <cols>
    <col min="1" max="1" width="16.5" customWidth="1"/>
    <col min="2" max="2" width="23.3984375" customWidth="1"/>
    <col min="3" max="3" width="22.8984375" customWidth="1"/>
    <col min="4" max="4" width="13.09765625" customWidth="1"/>
    <col min="5" max="5" width="11.69921875" customWidth="1"/>
    <col min="6" max="6" width="8" customWidth="1"/>
    <col min="7" max="7" width="15.8984375" customWidth="1"/>
    <col min="8" max="8" width="20.69921875" customWidth="1"/>
    <col min="9" max="9" width="19.5" customWidth="1"/>
    <col min="10" max="10" width="17.09765625" customWidth="1"/>
    <col min="11" max="11" width="17.59765625" customWidth="1"/>
    <col min="12" max="12" width="27.8984375" customWidth="1"/>
    <col min="13" max="13" width="24.69921875" customWidth="1"/>
    <col min="14" max="14" width="14.19921875" customWidth="1"/>
    <col min="15" max="15" width="26.8984375" customWidth="1"/>
    <col min="16" max="16" width="22.09765625" customWidth="1"/>
    <col min="17" max="17" width="19" customWidth="1"/>
    <col min="18" max="18" width="28.3984375" customWidth="1"/>
    <col min="19" max="19" width="23.09765625" customWidth="1"/>
    <col min="20" max="20" width="17.796875" customWidth="1"/>
    <col min="21" max="21" width="19.8984375" customWidth="1"/>
    <col min="22" max="22" width="34.5" customWidth="1"/>
    <col min="23" max="23" width="24.09765625" customWidth="1"/>
    <col min="24" max="24" width="26" customWidth="1"/>
    <col min="25" max="25" width="24.69921875" customWidth="1"/>
    <col min="26" max="26" width="22.5" customWidth="1"/>
    <col min="27" max="27" width="26" customWidth="1"/>
    <col min="28" max="28" width="22.59765625" customWidth="1"/>
    <col min="29" max="29" width="16.5" customWidth="1"/>
    <col min="30" max="30" width="21.296875" customWidth="1"/>
    <col min="31" max="31" width="33" customWidth="1"/>
    <col min="32" max="32" width="49.19921875" customWidth="1"/>
    <col min="33" max="33" width="26.3984375" customWidth="1"/>
    <col min="34" max="34" width="25.09765625" customWidth="1"/>
    <col min="35" max="35" width="42.09765625" customWidth="1"/>
    <col min="36" max="36" width="38.59765625" customWidth="1"/>
  </cols>
  <sheetData>
    <row r="1" spans="1:36" ht="21" customHeight="1" x14ac:dyDescent="0.4">
      <c r="A1" s="9" t="s">
        <v>240</v>
      </c>
      <c r="B1" s="10"/>
      <c r="C1" s="10"/>
      <c r="D1" s="10"/>
      <c r="E1" s="10"/>
      <c r="F1" s="10"/>
      <c r="G1" s="10"/>
      <c r="H1" s="10"/>
      <c r="I1" s="10"/>
    </row>
    <row r="2" spans="1:36" ht="21" customHeight="1" x14ac:dyDescent="0.4">
      <c r="A2" s="9"/>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row>
    <row r="3" spans="1:36" ht="13.5" customHeight="1" x14ac:dyDescent="0.25">
      <c r="A3" s="21" t="s">
        <v>15</v>
      </c>
      <c r="B3" s="21" t="s">
        <v>16</v>
      </c>
      <c r="C3" s="21" t="s">
        <v>17</v>
      </c>
      <c r="D3" s="21" t="s">
        <v>18</v>
      </c>
      <c r="E3" s="21" t="s">
        <v>19</v>
      </c>
      <c r="F3" s="21" t="s">
        <v>20</v>
      </c>
      <c r="G3" s="21" t="s">
        <v>21</v>
      </c>
      <c r="H3" s="21" t="s">
        <v>22</v>
      </c>
      <c r="I3" s="21" t="s">
        <v>241</v>
      </c>
      <c r="J3" s="21" t="s">
        <v>242</v>
      </c>
      <c r="K3" s="21" t="s">
        <v>243</v>
      </c>
      <c r="L3" s="21" t="s">
        <v>244</v>
      </c>
      <c r="M3" s="21" t="s">
        <v>27</v>
      </c>
      <c r="N3" s="21" t="s">
        <v>28</v>
      </c>
      <c r="O3" s="21" t="s">
        <v>29</v>
      </c>
      <c r="P3" s="22" t="s">
        <v>30</v>
      </c>
      <c r="Q3" s="21" t="s">
        <v>31</v>
      </c>
      <c r="R3" s="21" t="s">
        <v>32</v>
      </c>
      <c r="S3" s="21" t="s">
        <v>33</v>
      </c>
      <c r="T3" s="21" t="s">
        <v>34</v>
      </c>
      <c r="U3" s="21" t="s">
        <v>245</v>
      </c>
      <c r="V3" s="21" t="s">
        <v>36</v>
      </c>
      <c r="W3" s="21" t="s">
        <v>37</v>
      </c>
      <c r="X3" s="21" t="s">
        <v>38</v>
      </c>
      <c r="Y3" s="22" t="s">
        <v>39</v>
      </c>
      <c r="Z3" s="21" t="s">
        <v>40</v>
      </c>
      <c r="AA3" s="21" t="s">
        <v>41</v>
      </c>
      <c r="AB3" s="21" t="s">
        <v>42</v>
      </c>
      <c r="AC3" s="21" t="s">
        <v>43</v>
      </c>
      <c r="AD3" s="21" t="s">
        <v>44</v>
      </c>
      <c r="AE3" s="21" t="s">
        <v>45</v>
      </c>
      <c r="AF3" s="21" t="s">
        <v>246</v>
      </c>
      <c r="AG3" s="21" t="s">
        <v>47</v>
      </c>
      <c r="AH3" s="22" t="s">
        <v>48</v>
      </c>
      <c r="AI3" s="21" t="s">
        <v>49</v>
      </c>
      <c r="AJ3" s="21" t="s">
        <v>247</v>
      </c>
    </row>
    <row r="4" spans="1:36" ht="13.5" customHeight="1" x14ac:dyDescent="0.25">
      <c r="A4" s="23">
        <v>16</v>
      </c>
      <c r="B4" s="23" t="s">
        <v>248</v>
      </c>
      <c r="C4" s="23" t="s">
        <v>249</v>
      </c>
      <c r="D4" s="23" t="s">
        <v>52</v>
      </c>
      <c r="E4" s="23" t="s">
        <v>53</v>
      </c>
      <c r="F4" s="23">
        <v>3</v>
      </c>
      <c r="G4" s="23">
        <v>1</v>
      </c>
      <c r="H4" s="24">
        <v>8</v>
      </c>
      <c r="I4" s="24">
        <v>13</v>
      </c>
      <c r="J4" s="25">
        <v>1.625</v>
      </c>
      <c r="K4" s="25">
        <v>162.5</v>
      </c>
      <c r="L4" s="26">
        <v>21</v>
      </c>
      <c r="M4" s="26">
        <v>45</v>
      </c>
      <c r="N4" s="26" t="s">
        <v>100</v>
      </c>
      <c r="O4" s="26" t="s">
        <v>75</v>
      </c>
      <c r="P4" s="27">
        <v>41.5</v>
      </c>
      <c r="Q4" s="25">
        <v>7500</v>
      </c>
      <c r="R4" s="25">
        <v>2490000</v>
      </c>
      <c r="S4" s="25">
        <v>0</v>
      </c>
      <c r="T4" s="25">
        <v>0</v>
      </c>
      <c r="U4" s="25">
        <v>390000</v>
      </c>
      <c r="V4" s="25">
        <v>2880000</v>
      </c>
      <c r="W4" s="25">
        <v>0</v>
      </c>
      <c r="X4" s="25">
        <v>2880000</v>
      </c>
      <c r="Y4" s="27">
        <v>0</v>
      </c>
      <c r="Z4" s="25">
        <v>388000</v>
      </c>
      <c r="AA4" s="25">
        <v>0</v>
      </c>
      <c r="AB4" s="25">
        <v>50000</v>
      </c>
      <c r="AC4" s="25">
        <v>0</v>
      </c>
      <c r="AD4" s="25">
        <v>0</v>
      </c>
      <c r="AE4" s="25">
        <v>700000</v>
      </c>
      <c r="AF4" s="25">
        <v>1742000</v>
      </c>
      <c r="AG4" s="25">
        <v>2442000</v>
      </c>
      <c r="AH4" s="28"/>
      <c r="AI4" s="26" t="s">
        <v>250</v>
      </c>
      <c r="AJ4" s="26" t="s">
        <v>251</v>
      </c>
    </row>
    <row r="5" spans="1:36" ht="13.5" customHeight="1" x14ac:dyDescent="0.25">
      <c r="A5" s="23">
        <v>22</v>
      </c>
      <c r="B5" s="23" t="s">
        <v>74</v>
      </c>
      <c r="C5" s="23" t="s">
        <v>59</v>
      </c>
      <c r="D5" s="23" t="s">
        <v>52</v>
      </c>
      <c r="E5" s="23" t="s">
        <v>53</v>
      </c>
      <c r="F5" s="23">
        <v>4</v>
      </c>
      <c r="G5" s="23">
        <v>2</v>
      </c>
      <c r="H5" s="24">
        <v>3.6</v>
      </c>
      <c r="I5" s="23"/>
      <c r="J5" s="26"/>
      <c r="K5" s="26"/>
      <c r="L5" s="26">
        <v>21</v>
      </c>
      <c r="M5" s="26">
        <v>45</v>
      </c>
      <c r="N5" s="26" t="s">
        <v>72</v>
      </c>
      <c r="O5" s="26" t="s">
        <v>75</v>
      </c>
      <c r="P5" s="27">
        <v>48.4722222222222</v>
      </c>
      <c r="Q5" s="25">
        <v>7500</v>
      </c>
      <c r="R5" s="25">
        <v>1308750</v>
      </c>
      <c r="S5" s="26"/>
      <c r="T5" s="26"/>
      <c r="U5" s="25">
        <v>0</v>
      </c>
      <c r="V5" s="25">
        <v>1308750</v>
      </c>
      <c r="W5" s="25">
        <v>0</v>
      </c>
      <c r="X5" s="25">
        <v>1308750</v>
      </c>
      <c r="Y5" s="27">
        <v>0</v>
      </c>
      <c r="Z5" s="25">
        <v>101400</v>
      </c>
      <c r="AA5" s="25">
        <v>0</v>
      </c>
      <c r="AB5" s="25">
        <v>0</v>
      </c>
      <c r="AC5" s="25">
        <v>0</v>
      </c>
      <c r="AD5" s="25">
        <v>0</v>
      </c>
      <c r="AE5" s="25">
        <v>0</v>
      </c>
      <c r="AF5" s="25">
        <v>1207350</v>
      </c>
      <c r="AG5" s="25">
        <v>1207350</v>
      </c>
      <c r="AH5" s="28"/>
      <c r="AI5" s="26" t="s">
        <v>252</v>
      </c>
      <c r="AJ5" s="26" t="s">
        <v>253</v>
      </c>
    </row>
    <row r="6" spans="1:36" ht="13.5" customHeight="1" x14ac:dyDescent="0.25">
      <c r="A6" s="23">
        <v>29</v>
      </c>
      <c r="B6" s="23" t="s">
        <v>88</v>
      </c>
      <c r="C6" s="23" t="s">
        <v>254</v>
      </c>
      <c r="D6" s="23" t="s">
        <v>52</v>
      </c>
      <c r="E6" s="23" t="s">
        <v>71</v>
      </c>
      <c r="F6" s="23">
        <v>6</v>
      </c>
      <c r="G6" s="23">
        <v>1</v>
      </c>
      <c r="H6" s="24">
        <v>3.28</v>
      </c>
      <c r="I6" s="24">
        <v>10</v>
      </c>
      <c r="J6" s="25">
        <v>3.0487804878048799</v>
      </c>
      <c r="K6" s="25">
        <v>304.87804878048797</v>
      </c>
      <c r="L6" s="26">
        <v>21</v>
      </c>
      <c r="M6" s="26">
        <v>45</v>
      </c>
      <c r="N6" s="26" t="s">
        <v>72</v>
      </c>
      <c r="O6" s="26" t="s">
        <v>75</v>
      </c>
      <c r="P6" s="27">
        <v>37.195121951219498</v>
      </c>
      <c r="Q6" s="25">
        <v>6000</v>
      </c>
      <c r="R6" s="25">
        <v>732000</v>
      </c>
      <c r="S6" s="25">
        <v>15000</v>
      </c>
      <c r="T6" s="25">
        <v>120000</v>
      </c>
      <c r="U6" s="25">
        <v>100000</v>
      </c>
      <c r="V6" s="25">
        <v>832000</v>
      </c>
      <c r="W6" s="25">
        <v>270000</v>
      </c>
      <c r="X6" s="25">
        <v>562000</v>
      </c>
      <c r="Y6" s="27">
        <v>0</v>
      </c>
      <c r="Z6" s="25">
        <v>119000</v>
      </c>
      <c r="AA6" s="25">
        <v>0</v>
      </c>
      <c r="AB6" s="25">
        <v>70000</v>
      </c>
      <c r="AC6" s="25">
        <v>0</v>
      </c>
      <c r="AD6" s="25">
        <v>0</v>
      </c>
      <c r="AE6" s="25">
        <v>0</v>
      </c>
      <c r="AF6" s="25">
        <v>373000</v>
      </c>
      <c r="AG6" s="25">
        <v>373000</v>
      </c>
      <c r="AH6" s="28"/>
      <c r="AI6" s="26" t="s">
        <v>255</v>
      </c>
      <c r="AJ6" s="26" t="s">
        <v>256</v>
      </c>
    </row>
    <row r="7" spans="1:36" ht="13.5" customHeight="1" x14ac:dyDescent="0.25">
      <c r="A7" s="23">
        <v>32</v>
      </c>
      <c r="B7" s="23" t="s">
        <v>257</v>
      </c>
      <c r="C7" s="23" t="s">
        <v>258</v>
      </c>
      <c r="D7" s="23" t="s">
        <v>259</v>
      </c>
      <c r="E7" s="23" t="s">
        <v>260</v>
      </c>
      <c r="F7" s="23">
        <v>7</v>
      </c>
      <c r="G7" s="23">
        <v>1</v>
      </c>
      <c r="H7" s="24">
        <v>3.6</v>
      </c>
      <c r="I7" s="24">
        <v>10</v>
      </c>
      <c r="J7" s="25">
        <v>2.7777777777777799</v>
      </c>
      <c r="K7" s="25">
        <v>277.777777777778</v>
      </c>
      <c r="L7" s="26">
        <v>21</v>
      </c>
      <c r="M7" s="26">
        <v>45</v>
      </c>
      <c r="N7" s="26" t="s">
        <v>261</v>
      </c>
      <c r="O7" s="26" t="s">
        <v>75</v>
      </c>
      <c r="P7" s="27">
        <v>38.7361111111111</v>
      </c>
      <c r="Q7" s="25">
        <v>6600</v>
      </c>
      <c r="R7" s="25">
        <v>920370</v>
      </c>
      <c r="S7" s="25">
        <v>0</v>
      </c>
      <c r="T7" s="26"/>
      <c r="U7" s="25">
        <v>0</v>
      </c>
      <c r="V7" s="25">
        <v>920370</v>
      </c>
      <c r="W7" s="25">
        <v>0</v>
      </c>
      <c r="X7" s="25">
        <v>920370</v>
      </c>
      <c r="Y7" s="27">
        <v>0</v>
      </c>
      <c r="Z7" s="25">
        <v>169800</v>
      </c>
      <c r="AA7" s="25">
        <v>6000</v>
      </c>
      <c r="AB7" s="25">
        <v>30000</v>
      </c>
      <c r="AC7" s="25">
        <v>0</v>
      </c>
      <c r="AD7" s="25">
        <v>0</v>
      </c>
      <c r="AE7" s="25">
        <v>0</v>
      </c>
      <c r="AF7" s="25">
        <v>714570</v>
      </c>
      <c r="AG7" s="25">
        <v>714570</v>
      </c>
      <c r="AH7" s="28"/>
      <c r="AI7" s="26" t="s">
        <v>262</v>
      </c>
      <c r="AJ7" s="26" t="s">
        <v>256</v>
      </c>
    </row>
    <row r="8" spans="1:36" ht="13.5" customHeight="1" x14ac:dyDescent="0.25">
      <c r="A8" s="23">
        <v>48</v>
      </c>
      <c r="B8" s="23" t="s">
        <v>104</v>
      </c>
      <c r="C8" s="23" t="s">
        <v>263</v>
      </c>
      <c r="D8" s="23" t="s">
        <v>106</v>
      </c>
      <c r="E8" s="23" t="s">
        <v>107</v>
      </c>
      <c r="F8" s="23">
        <v>42</v>
      </c>
      <c r="G8" s="23">
        <v>2</v>
      </c>
      <c r="H8" s="24">
        <v>2.4500000000000002</v>
      </c>
      <c r="I8" s="24">
        <v>5</v>
      </c>
      <c r="J8" s="25">
        <v>2.0408163265306101</v>
      </c>
      <c r="K8" s="25">
        <v>204.08163265306101</v>
      </c>
      <c r="L8" s="26">
        <v>21</v>
      </c>
      <c r="M8" s="26">
        <v>45</v>
      </c>
      <c r="N8" s="26" t="s">
        <v>72</v>
      </c>
      <c r="O8" s="26" t="s">
        <v>75</v>
      </c>
      <c r="P8" s="27">
        <v>23.469387755102002</v>
      </c>
      <c r="Q8" s="25">
        <v>6000</v>
      </c>
      <c r="R8" s="25">
        <v>345000</v>
      </c>
      <c r="S8" s="25">
        <v>25000</v>
      </c>
      <c r="T8" s="25">
        <v>17500</v>
      </c>
      <c r="U8" s="25">
        <v>0</v>
      </c>
      <c r="V8" s="25">
        <v>345000</v>
      </c>
      <c r="W8" s="25">
        <v>142500</v>
      </c>
      <c r="X8" s="25">
        <v>202500</v>
      </c>
      <c r="Y8" s="27">
        <v>0</v>
      </c>
      <c r="Z8" s="25">
        <v>163310</v>
      </c>
      <c r="AA8" s="25">
        <v>0</v>
      </c>
      <c r="AB8" s="25">
        <v>200018</v>
      </c>
      <c r="AC8" s="25">
        <v>0</v>
      </c>
      <c r="AD8" s="25">
        <v>0</v>
      </c>
      <c r="AE8" s="25">
        <v>58333.333333333299</v>
      </c>
      <c r="AF8" s="25">
        <v>-224161.33333333299</v>
      </c>
      <c r="AG8" s="25">
        <v>-165828</v>
      </c>
      <c r="AH8" s="28"/>
      <c r="AI8" s="26"/>
      <c r="AJ8" s="26" t="s">
        <v>264</v>
      </c>
    </row>
    <row r="9" spans="1:36" ht="13.5" customHeight="1" x14ac:dyDescent="0.25">
      <c r="A9" s="23">
        <v>57</v>
      </c>
      <c r="B9" s="23" t="s">
        <v>265</v>
      </c>
      <c r="C9" s="23" t="s">
        <v>266</v>
      </c>
      <c r="D9" s="23" t="s">
        <v>52</v>
      </c>
      <c r="E9" s="23" t="s">
        <v>53</v>
      </c>
      <c r="F9" s="23">
        <v>47</v>
      </c>
      <c r="G9" s="23"/>
      <c r="H9" s="24">
        <v>1.92</v>
      </c>
      <c r="I9" s="24">
        <v>4</v>
      </c>
      <c r="J9" s="25">
        <v>2.0833333333333299</v>
      </c>
      <c r="K9" s="25">
        <v>208.333333333333</v>
      </c>
      <c r="L9" s="26">
        <v>21</v>
      </c>
      <c r="M9" s="26">
        <v>45</v>
      </c>
      <c r="N9" s="26" t="s">
        <v>72</v>
      </c>
      <c r="O9" s="26" t="s">
        <v>75</v>
      </c>
      <c r="P9" s="27">
        <v>11.1979166666667</v>
      </c>
      <c r="Q9" s="25">
        <v>6000</v>
      </c>
      <c r="R9" s="25">
        <v>129000</v>
      </c>
      <c r="S9" s="25">
        <v>25000</v>
      </c>
      <c r="T9" s="26"/>
      <c r="U9" s="25">
        <v>160000</v>
      </c>
      <c r="V9" s="25">
        <v>289000</v>
      </c>
      <c r="W9" s="25">
        <v>100000</v>
      </c>
      <c r="X9" s="25">
        <v>189000</v>
      </c>
      <c r="Y9" s="27">
        <v>70000</v>
      </c>
      <c r="Z9" s="25">
        <v>136896</v>
      </c>
      <c r="AA9" s="25">
        <v>0</v>
      </c>
      <c r="AB9" s="25">
        <v>214972.79999999999</v>
      </c>
      <c r="AC9" s="25">
        <v>0</v>
      </c>
      <c r="AD9" s="25">
        <v>0</v>
      </c>
      <c r="AE9" s="25">
        <v>30833.333333333299</v>
      </c>
      <c r="AF9" s="25">
        <v>-198702.13333333301</v>
      </c>
      <c r="AG9" s="25">
        <v>-167868.79999999999</v>
      </c>
      <c r="AH9" s="28"/>
      <c r="AI9" s="26" t="s">
        <v>115</v>
      </c>
      <c r="AJ9" s="26" t="s">
        <v>267</v>
      </c>
    </row>
    <row r="10" spans="1:36" ht="13.5" customHeight="1" x14ac:dyDescent="0.25">
      <c r="A10" s="23">
        <v>59</v>
      </c>
      <c r="B10" s="23" t="s">
        <v>118</v>
      </c>
      <c r="C10" s="23" t="s">
        <v>268</v>
      </c>
      <c r="D10" s="23" t="s">
        <v>120</v>
      </c>
      <c r="E10" s="23" t="s">
        <v>120</v>
      </c>
      <c r="F10" s="23">
        <v>48</v>
      </c>
      <c r="G10" s="23">
        <v>3</v>
      </c>
      <c r="H10" s="24">
        <v>1.58</v>
      </c>
      <c r="I10" s="24">
        <v>3</v>
      </c>
      <c r="J10" s="25">
        <v>1.89873417721519</v>
      </c>
      <c r="K10" s="25">
        <v>189.87341772151899</v>
      </c>
      <c r="L10" s="26">
        <v>21</v>
      </c>
      <c r="M10" s="26">
        <v>45</v>
      </c>
      <c r="N10" s="26" t="s">
        <v>72</v>
      </c>
      <c r="O10" s="26" t="s">
        <v>75</v>
      </c>
      <c r="P10" s="27">
        <v>20.569620253164601</v>
      </c>
      <c r="Q10" s="25">
        <v>6000</v>
      </c>
      <c r="R10" s="25">
        <v>195000</v>
      </c>
      <c r="S10" s="25">
        <v>25000</v>
      </c>
      <c r="T10" s="26"/>
      <c r="U10" s="25">
        <v>105000</v>
      </c>
      <c r="V10" s="25">
        <v>300000</v>
      </c>
      <c r="W10" s="25">
        <v>75000</v>
      </c>
      <c r="X10" s="25">
        <v>225000</v>
      </c>
      <c r="Y10" s="27">
        <v>0</v>
      </c>
      <c r="Z10" s="25">
        <v>138584</v>
      </c>
      <c r="AA10" s="25">
        <v>0</v>
      </c>
      <c r="AB10" s="25">
        <v>200000.8</v>
      </c>
      <c r="AC10" s="25">
        <v>0</v>
      </c>
      <c r="AD10" s="25">
        <v>0</v>
      </c>
      <c r="AE10" s="25">
        <v>30833.333333333299</v>
      </c>
      <c r="AF10" s="25">
        <v>-144418.13333333301</v>
      </c>
      <c r="AG10" s="25">
        <v>-113584.8</v>
      </c>
      <c r="AH10" s="28"/>
      <c r="AI10" s="26"/>
      <c r="AJ10" s="26" t="s">
        <v>264</v>
      </c>
    </row>
    <row r="11" spans="1:36" ht="13.5" customHeight="1" x14ac:dyDescent="0.25">
      <c r="A11" s="23">
        <v>64</v>
      </c>
      <c r="B11" s="23" t="s">
        <v>269</v>
      </c>
      <c r="C11" s="23" t="s">
        <v>270</v>
      </c>
      <c r="D11" s="23" t="s">
        <v>106</v>
      </c>
      <c r="E11" s="23" t="s">
        <v>106</v>
      </c>
      <c r="F11" s="23">
        <v>55</v>
      </c>
      <c r="G11" s="23">
        <v>2</v>
      </c>
      <c r="H11" s="24">
        <v>17.190000000000001</v>
      </c>
      <c r="I11" s="24">
        <v>8</v>
      </c>
      <c r="J11" s="25">
        <v>0.46538685282140801</v>
      </c>
      <c r="K11" s="25">
        <v>46.538685282140797</v>
      </c>
      <c r="L11" s="26">
        <v>21</v>
      </c>
      <c r="M11" s="26">
        <v>45</v>
      </c>
      <c r="N11" s="26" t="s">
        <v>72</v>
      </c>
      <c r="O11" s="26" t="s">
        <v>271</v>
      </c>
      <c r="P11" s="27">
        <v>49.2146596858639</v>
      </c>
      <c r="Q11" s="25">
        <v>6000</v>
      </c>
      <c r="R11" s="25">
        <v>5076000</v>
      </c>
      <c r="S11" s="25">
        <v>25000</v>
      </c>
      <c r="T11" s="26"/>
      <c r="U11" s="25">
        <v>245000</v>
      </c>
      <c r="V11" s="25">
        <v>5321000</v>
      </c>
      <c r="W11" s="25">
        <v>200000</v>
      </c>
      <c r="X11" s="25">
        <v>5121000</v>
      </c>
      <c r="Y11" s="27">
        <v>450000</v>
      </c>
      <c r="Z11" s="25">
        <v>1551550</v>
      </c>
      <c r="AA11" s="25">
        <v>0</v>
      </c>
      <c r="AB11" s="25">
        <v>70000</v>
      </c>
      <c r="AC11" s="25">
        <v>0</v>
      </c>
      <c r="AD11" s="25">
        <v>0</v>
      </c>
      <c r="AE11" s="25">
        <v>0</v>
      </c>
      <c r="AF11" s="25">
        <v>3499450</v>
      </c>
      <c r="AG11" s="25">
        <v>3499450</v>
      </c>
      <c r="AH11" s="28" t="s">
        <v>61</v>
      </c>
      <c r="AI11" s="26" t="s">
        <v>272</v>
      </c>
      <c r="AJ11" s="26" t="s">
        <v>273</v>
      </c>
    </row>
    <row r="12" spans="1:36" ht="14.25" customHeight="1" x14ac:dyDescent="0.3">
      <c r="A12" s="10"/>
      <c r="B12" s="10"/>
      <c r="C12" s="10"/>
      <c r="D12" s="10"/>
      <c r="E12" s="10"/>
      <c r="F12" s="10"/>
      <c r="G12" s="10"/>
      <c r="H12" s="10"/>
      <c r="I12" s="10"/>
    </row>
    <row r="13" spans="1:36" ht="14.25" customHeight="1" x14ac:dyDescent="0.3">
      <c r="A13" s="10"/>
      <c r="B13" s="10"/>
      <c r="C13" s="10"/>
      <c r="D13" s="10"/>
      <c r="E13" s="10"/>
      <c r="F13" s="10"/>
      <c r="G13" s="10"/>
      <c r="H13" s="10"/>
      <c r="I13" s="10"/>
    </row>
    <row r="14" spans="1:36" ht="14.25" customHeight="1" x14ac:dyDescent="0.3">
      <c r="A14" s="10"/>
      <c r="B14" s="10"/>
      <c r="C14" s="10"/>
      <c r="D14" s="10"/>
      <c r="E14" s="10"/>
      <c r="F14" s="10"/>
      <c r="G14" s="10"/>
      <c r="H14" s="10"/>
      <c r="I14" s="10"/>
    </row>
    <row r="15" spans="1:36" ht="14.25" customHeight="1" x14ac:dyDescent="0.3">
      <c r="A15" s="10"/>
      <c r="B15" s="10"/>
      <c r="C15" s="10"/>
      <c r="D15" s="10"/>
      <c r="E15" s="10"/>
      <c r="F15" s="10"/>
      <c r="G15" s="10"/>
      <c r="H15" s="10"/>
      <c r="I15" s="10"/>
    </row>
    <row r="16" spans="1:36" ht="14.25" customHeight="1" x14ac:dyDescent="0.3">
      <c r="A16" s="10"/>
      <c r="B16" s="10"/>
      <c r="C16" s="10"/>
      <c r="D16" s="10"/>
      <c r="E16" s="10"/>
      <c r="F16" s="10"/>
      <c r="G16" s="10"/>
      <c r="H16" s="10"/>
      <c r="I16" s="10"/>
    </row>
    <row r="17" spans="1:9" ht="14.25" customHeight="1" x14ac:dyDescent="0.3">
      <c r="A17" s="10"/>
      <c r="B17" s="10"/>
      <c r="C17" s="10"/>
      <c r="D17" s="10"/>
      <c r="E17" s="10"/>
      <c r="F17" s="10"/>
      <c r="G17" s="10"/>
      <c r="H17" s="10"/>
      <c r="I17" s="10"/>
    </row>
    <row r="18" spans="1:9" ht="14.25" customHeight="1" x14ac:dyDescent="0.3">
      <c r="A18" s="10"/>
      <c r="B18" s="10"/>
      <c r="C18" s="10"/>
      <c r="D18" s="10"/>
      <c r="E18" s="10"/>
      <c r="F18" s="10"/>
      <c r="G18" s="10"/>
      <c r="H18" s="10"/>
      <c r="I18" s="10"/>
    </row>
    <row r="19" spans="1:9" ht="14.25" customHeight="1" x14ac:dyDescent="0.3">
      <c r="A19" s="10"/>
      <c r="B19" s="10"/>
      <c r="C19" s="10"/>
      <c r="D19" s="10"/>
      <c r="E19" s="10"/>
      <c r="F19" s="10"/>
      <c r="G19" s="10"/>
      <c r="H19" s="10"/>
      <c r="I19" s="10"/>
    </row>
    <row r="20" spans="1:9" ht="14.25" customHeight="1" x14ac:dyDescent="0.3">
      <c r="A20" s="10"/>
      <c r="B20" s="10"/>
      <c r="C20" s="10"/>
      <c r="D20" s="10"/>
      <c r="E20" s="10"/>
      <c r="F20" s="10"/>
      <c r="G20" s="10"/>
      <c r="H20" s="10"/>
      <c r="I20" s="10"/>
    </row>
    <row r="21" spans="1:9" ht="14.25" customHeight="1" x14ac:dyDescent="0.3">
      <c r="A21" s="10"/>
      <c r="B21" s="10"/>
      <c r="C21" s="10"/>
      <c r="D21" s="10"/>
      <c r="E21" s="10"/>
      <c r="F21" s="10"/>
      <c r="G21" s="10"/>
      <c r="H21" s="10"/>
      <c r="I21" s="10"/>
    </row>
    <row r="22" spans="1:9" ht="14.25" customHeight="1" x14ac:dyDescent="0.3">
      <c r="A22" s="10"/>
      <c r="B22" s="10"/>
      <c r="C22" s="10"/>
      <c r="D22" s="10"/>
      <c r="E22" s="10"/>
      <c r="F22" s="10"/>
      <c r="G22" s="10"/>
      <c r="H22" s="10"/>
      <c r="I22" s="10"/>
    </row>
    <row r="23" spans="1:9" ht="14.25" customHeight="1" x14ac:dyDescent="0.3">
      <c r="A23" s="10"/>
      <c r="B23" s="10"/>
      <c r="C23" s="10"/>
      <c r="D23" s="10"/>
      <c r="E23" s="10"/>
      <c r="F23" s="10"/>
      <c r="G23" s="10"/>
      <c r="H23" s="10"/>
      <c r="I23" s="10"/>
    </row>
    <row r="24" spans="1:9" ht="14.25" customHeight="1" x14ac:dyDescent="0.3">
      <c r="A24" s="10"/>
      <c r="B24" s="10"/>
      <c r="C24" s="10"/>
      <c r="D24" s="10"/>
      <c r="E24" s="10"/>
      <c r="F24" s="10"/>
      <c r="G24" s="10"/>
      <c r="H24" s="10"/>
      <c r="I24" s="10"/>
    </row>
    <row r="25" spans="1:9" ht="14.25" customHeight="1" x14ac:dyDescent="0.3">
      <c r="A25" s="10"/>
      <c r="B25" s="10"/>
      <c r="C25" s="10"/>
      <c r="D25" s="10"/>
      <c r="E25" s="10"/>
      <c r="F25" s="10"/>
      <c r="G25" s="10"/>
      <c r="H25" s="10"/>
      <c r="I25" s="10"/>
    </row>
    <row r="26" spans="1:9" ht="14.25" customHeight="1" x14ac:dyDescent="0.3">
      <c r="A26" s="10"/>
      <c r="B26" s="10"/>
      <c r="C26" s="10"/>
      <c r="D26" s="10"/>
      <c r="E26" s="10"/>
      <c r="F26" s="10"/>
      <c r="G26" s="10"/>
      <c r="H26" s="10"/>
      <c r="I26" s="10"/>
    </row>
    <row r="27" spans="1:9" ht="14.25" customHeight="1" x14ac:dyDescent="0.3">
      <c r="A27" s="10"/>
      <c r="B27" s="10"/>
      <c r="C27" s="10"/>
      <c r="D27" s="10"/>
      <c r="E27" s="10"/>
      <c r="F27" s="10"/>
      <c r="G27" s="10"/>
      <c r="H27" s="10"/>
      <c r="I27" s="10"/>
    </row>
    <row r="28" spans="1:9" ht="14.25" customHeight="1" x14ac:dyDescent="0.3">
      <c r="A28" s="10"/>
      <c r="B28" s="10"/>
      <c r="C28" s="10"/>
      <c r="D28" s="10"/>
      <c r="E28" s="10"/>
      <c r="F28" s="10"/>
      <c r="G28" s="10"/>
      <c r="H28" s="10"/>
      <c r="I28" s="10"/>
    </row>
    <row r="29" spans="1:9" ht="14.25" customHeight="1" x14ac:dyDescent="0.3">
      <c r="A29" s="10"/>
      <c r="B29" s="10"/>
      <c r="C29" s="10"/>
      <c r="D29" s="10"/>
      <c r="E29" s="10"/>
      <c r="F29" s="10"/>
      <c r="G29" s="10"/>
      <c r="H29" s="10"/>
      <c r="I29" s="10"/>
    </row>
    <row r="30" spans="1:9" ht="14.25" customHeight="1" x14ac:dyDescent="0.3">
      <c r="A30" s="10"/>
      <c r="B30" s="10"/>
      <c r="C30" s="10"/>
      <c r="D30" s="10"/>
      <c r="E30" s="10"/>
      <c r="F30" s="10"/>
      <c r="G30" s="10"/>
      <c r="H30" s="10"/>
      <c r="I30" s="10"/>
    </row>
    <row r="31" spans="1:9" ht="14.25" customHeight="1" x14ac:dyDescent="0.3">
      <c r="A31" s="10"/>
      <c r="B31" s="10"/>
      <c r="C31" s="10"/>
      <c r="D31" s="10"/>
      <c r="E31" s="10"/>
      <c r="F31" s="10"/>
      <c r="G31" s="10"/>
      <c r="H31" s="10"/>
      <c r="I31" s="10"/>
    </row>
    <row r="32" spans="1:9" ht="14.25" customHeight="1" x14ac:dyDescent="0.3">
      <c r="A32" s="10"/>
      <c r="B32" s="10"/>
      <c r="C32" s="10"/>
      <c r="D32" s="10"/>
      <c r="E32" s="10"/>
      <c r="F32" s="10"/>
      <c r="G32" s="10"/>
      <c r="H32" s="10"/>
      <c r="I32" s="10"/>
    </row>
    <row r="33" spans="1:9" ht="14.25" customHeight="1" x14ac:dyDescent="0.3">
      <c r="A33" s="10"/>
      <c r="B33" s="10"/>
      <c r="C33" s="10"/>
      <c r="D33" s="10"/>
      <c r="E33" s="10"/>
      <c r="F33" s="10"/>
      <c r="G33" s="10"/>
      <c r="H33" s="10"/>
      <c r="I33" s="10"/>
    </row>
    <row r="34" spans="1:9" ht="14.25" customHeight="1" x14ac:dyDescent="0.3">
      <c r="A34" s="10"/>
      <c r="B34" s="10"/>
      <c r="C34" s="10"/>
      <c r="D34" s="10"/>
      <c r="E34" s="10"/>
      <c r="F34" s="10"/>
      <c r="G34" s="10"/>
      <c r="H34" s="10"/>
      <c r="I34" s="10"/>
    </row>
    <row r="35" spans="1:9" ht="14.25" customHeight="1" x14ac:dyDescent="0.3">
      <c r="A35" s="10"/>
      <c r="B35" s="10"/>
      <c r="C35" s="10"/>
      <c r="D35" s="10"/>
      <c r="E35" s="10"/>
      <c r="F35" s="10"/>
      <c r="G35" s="10"/>
      <c r="H35" s="10"/>
      <c r="I35" s="10"/>
    </row>
    <row r="36" spans="1:9" ht="14.25" customHeight="1" x14ac:dyDescent="0.3">
      <c r="A36" s="10"/>
      <c r="B36" s="10"/>
      <c r="C36" s="10"/>
      <c r="D36" s="10"/>
      <c r="E36" s="10"/>
      <c r="F36" s="10"/>
      <c r="G36" s="10"/>
      <c r="H36" s="10"/>
      <c r="I36" s="10"/>
    </row>
    <row r="37" spans="1:9" ht="14.25" customHeight="1" x14ac:dyDescent="0.3">
      <c r="A37" s="10"/>
      <c r="B37" s="10"/>
      <c r="C37" s="10"/>
      <c r="D37" s="10"/>
      <c r="E37" s="10"/>
      <c r="F37" s="10"/>
      <c r="G37" s="10"/>
      <c r="H37" s="10"/>
      <c r="I37" s="10"/>
    </row>
    <row r="38" spans="1:9" ht="14.25" customHeight="1" x14ac:dyDescent="0.3">
      <c r="A38" s="10"/>
      <c r="B38" s="10"/>
      <c r="C38" s="10"/>
      <c r="D38" s="10"/>
      <c r="E38" s="10"/>
      <c r="F38" s="10"/>
      <c r="G38" s="10"/>
      <c r="H38" s="10"/>
      <c r="I38" s="10"/>
    </row>
    <row r="39" spans="1:9" ht="14.25" customHeight="1" x14ac:dyDescent="0.3">
      <c r="A39" s="10"/>
      <c r="B39" s="10"/>
      <c r="C39" s="10"/>
      <c r="D39" s="10"/>
      <c r="E39" s="10"/>
      <c r="F39" s="10"/>
      <c r="G39" s="10"/>
      <c r="H39" s="10"/>
      <c r="I39" s="10"/>
    </row>
    <row r="40" spans="1:9" ht="14.25" customHeight="1" x14ac:dyDescent="0.3">
      <c r="A40" s="10"/>
      <c r="B40" s="10"/>
      <c r="C40" s="10"/>
      <c r="D40" s="10"/>
      <c r="E40" s="10"/>
      <c r="F40" s="10"/>
      <c r="G40" s="10"/>
      <c r="H40" s="10"/>
      <c r="I40" s="10"/>
    </row>
    <row r="41" spans="1:9" ht="14.25" customHeight="1" x14ac:dyDescent="0.3">
      <c r="A41" s="10"/>
      <c r="B41" s="10"/>
      <c r="C41" s="10"/>
      <c r="D41" s="10"/>
      <c r="E41" s="10"/>
      <c r="F41" s="10"/>
      <c r="G41" s="10"/>
      <c r="H41" s="10"/>
      <c r="I41" s="10"/>
    </row>
    <row r="42" spans="1:9" ht="14.25" customHeight="1" x14ac:dyDescent="0.3">
      <c r="A42" s="10"/>
      <c r="B42" s="10"/>
      <c r="C42" s="10"/>
      <c r="D42" s="10"/>
      <c r="E42" s="10"/>
      <c r="F42" s="10"/>
      <c r="G42" s="10"/>
      <c r="H42" s="10"/>
      <c r="I42" s="10"/>
    </row>
    <row r="43" spans="1:9" ht="14.25" customHeight="1" x14ac:dyDescent="0.3">
      <c r="A43" s="10"/>
      <c r="B43" s="10"/>
      <c r="C43" s="10"/>
      <c r="D43" s="10"/>
      <c r="E43" s="10"/>
      <c r="F43" s="10"/>
      <c r="G43" s="10"/>
      <c r="H43" s="10"/>
      <c r="I43" s="10"/>
    </row>
    <row r="44" spans="1:9" ht="14.25" customHeight="1" x14ac:dyDescent="0.3">
      <c r="A44" s="10"/>
      <c r="B44" s="10"/>
      <c r="C44" s="10"/>
      <c r="D44" s="10"/>
      <c r="E44" s="10"/>
      <c r="F44" s="10"/>
      <c r="G44" s="10"/>
      <c r="H44" s="10"/>
      <c r="I44" s="10"/>
    </row>
    <row r="45" spans="1:9" ht="14.25" customHeight="1" x14ac:dyDescent="0.3">
      <c r="A45" s="10"/>
      <c r="B45" s="10"/>
      <c r="C45" s="10"/>
      <c r="D45" s="10"/>
      <c r="E45" s="10"/>
      <c r="F45" s="10"/>
      <c r="G45" s="10"/>
      <c r="H45" s="10"/>
      <c r="I45" s="10"/>
    </row>
    <row r="46" spans="1:9" ht="14.25" customHeight="1" x14ac:dyDescent="0.3">
      <c r="A46" s="10"/>
      <c r="B46" s="10"/>
      <c r="C46" s="10"/>
      <c r="D46" s="10"/>
      <c r="E46" s="10"/>
      <c r="F46" s="10"/>
      <c r="G46" s="10"/>
      <c r="H46" s="10"/>
      <c r="I46" s="10"/>
    </row>
    <row r="47" spans="1:9" ht="14.25" customHeight="1" x14ac:dyDescent="0.3">
      <c r="A47" s="10"/>
      <c r="B47" s="10"/>
      <c r="C47" s="10"/>
      <c r="D47" s="10"/>
      <c r="E47" s="10"/>
      <c r="F47" s="10"/>
      <c r="G47" s="10"/>
      <c r="H47" s="10"/>
      <c r="I47" s="10"/>
    </row>
    <row r="48" spans="1:9" ht="14.25" customHeight="1" x14ac:dyDescent="0.3">
      <c r="A48" s="10"/>
      <c r="B48" s="10"/>
      <c r="C48" s="10"/>
      <c r="D48" s="10"/>
      <c r="E48" s="10"/>
      <c r="F48" s="10"/>
      <c r="G48" s="10"/>
      <c r="H48" s="10"/>
      <c r="I48" s="10"/>
    </row>
    <row r="49" spans="1:9" ht="14.25" customHeight="1" x14ac:dyDescent="0.3">
      <c r="A49" s="10"/>
      <c r="B49" s="10"/>
      <c r="C49" s="10"/>
      <c r="D49" s="10"/>
      <c r="E49" s="10"/>
      <c r="F49" s="10"/>
      <c r="G49" s="10"/>
      <c r="H49" s="10"/>
      <c r="I49" s="10"/>
    </row>
    <row r="50" spans="1:9" ht="14.25" customHeight="1" x14ac:dyDescent="0.3">
      <c r="A50" s="10"/>
      <c r="B50" s="10"/>
      <c r="C50" s="10"/>
      <c r="D50" s="10"/>
      <c r="E50" s="10"/>
      <c r="F50" s="10"/>
      <c r="G50" s="10"/>
      <c r="H50" s="10"/>
      <c r="I50" s="10"/>
    </row>
    <row r="51" spans="1:9" ht="14.25" customHeight="1" x14ac:dyDescent="0.3">
      <c r="A51" s="10"/>
      <c r="B51" s="10"/>
      <c r="C51" s="10"/>
      <c r="D51" s="10"/>
      <c r="E51" s="10"/>
      <c r="F51" s="10"/>
      <c r="G51" s="10"/>
      <c r="H51" s="10"/>
      <c r="I51" s="10"/>
    </row>
    <row r="52" spans="1:9" ht="14.25" customHeight="1" x14ac:dyDescent="0.3">
      <c r="A52" s="10"/>
      <c r="B52" s="10"/>
      <c r="C52" s="10"/>
      <c r="D52" s="10"/>
      <c r="E52" s="10"/>
      <c r="F52" s="10"/>
      <c r="G52" s="10"/>
      <c r="H52" s="10"/>
      <c r="I52" s="10"/>
    </row>
    <row r="53" spans="1:9" ht="14.25" customHeight="1" x14ac:dyDescent="0.3">
      <c r="A53" s="10"/>
      <c r="B53" s="10"/>
      <c r="C53" s="10"/>
      <c r="D53" s="10"/>
      <c r="E53" s="10"/>
      <c r="F53" s="10"/>
      <c r="G53" s="10"/>
      <c r="H53" s="10"/>
      <c r="I53" s="10"/>
    </row>
    <row r="54" spans="1:9" ht="14.25" customHeight="1" x14ac:dyDescent="0.3">
      <c r="A54" s="10"/>
      <c r="B54" s="10"/>
      <c r="C54" s="10"/>
      <c r="D54" s="10"/>
      <c r="E54" s="10"/>
      <c r="F54" s="10"/>
      <c r="G54" s="10"/>
      <c r="H54" s="10"/>
      <c r="I54" s="10"/>
    </row>
    <row r="55" spans="1:9" ht="14.25" customHeight="1" x14ac:dyDescent="0.3">
      <c r="A55" s="10"/>
      <c r="B55" s="10"/>
      <c r="C55" s="10"/>
      <c r="D55" s="10"/>
      <c r="E55" s="10"/>
      <c r="F55" s="10"/>
      <c r="G55" s="10"/>
      <c r="H55" s="10"/>
      <c r="I55" s="10"/>
    </row>
    <row r="56" spans="1:9" ht="14.25" customHeight="1" x14ac:dyDescent="0.3">
      <c r="A56" s="10"/>
      <c r="B56" s="10"/>
      <c r="C56" s="10"/>
      <c r="D56" s="10"/>
      <c r="E56" s="10"/>
      <c r="F56" s="10"/>
      <c r="G56" s="10"/>
      <c r="H56" s="10"/>
      <c r="I56" s="10"/>
    </row>
    <row r="57" spans="1:9" ht="14.25" customHeight="1" x14ac:dyDescent="0.3">
      <c r="A57" s="10"/>
      <c r="B57" s="10"/>
      <c r="C57" s="10"/>
      <c r="D57" s="10"/>
      <c r="E57" s="10"/>
      <c r="F57" s="10"/>
      <c r="G57" s="10"/>
      <c r="H57" s="10"/>
      <c r="I57" s="10"/>
    </row>
    <row r="58" spans="1:9" ht="14.25" customHeight="1" x14ac:dyDescent="0.3">
      <c r="A58" s="10"/>
      <c r="B58" s="10"/>
      <c r="C58" s="10"/>
      <c r="D58" s="10"/>
      <c r="E58" s="10"/>
      <c r="F58" s="10"/>
      <c r="G58" s="10"/>
      <c r="H58" s="10"/>
      <c r="I58" s="10"/>
    </row>
    <row r="59" spans="1:9" ht="14.25" customHeight="1" x14ac:dyDescent="0.3">
      <c r="A59" s="10"/>
      <c r="B59" s="10"/>
      <c r="C59" s="10"/>
      <c r="D59" s="10"/>
      <c r="E59" s="10"/>
      <c r="F59" s="10"/>
      <c r="G59" s="10"/>
      <c r="H59" s="10"/>
      <c r="I59" s="10"/>
    </row>
    <row r="60" spans="1:9" ht="14.25" customHeight="1" x14ac:dyDescent="0.3">
      <c r="A60" s="10"/>
      <c r="B60" s="10"/>
      <c r="C60" s="10"/>
      <c r="D60" s="10"/>
      <c r="E60" s="10"/>
      <c r="F60" s="10"/>
      <c r="G60" s="10"/>
      <c r="H60" s="10"/>
      <c r="I60" s="10"/>
    </row>
    <row r="61" spans="1:9" ht="14.25" customHeight="1" x14ac:dyDescent="0.3">
      <c r="A61" s="10"/>
      <c r="B61" s="10"/>
      <c r="C61" s="10"/>
      <c r="D61" s="10"/>
      <c r="E61" s="10"/>
      <c r="F61" s="10"/>
      <c r="G61" s="10"/>
      <c r="H61" s="10"/>
      <c r="I61" s="10"/>
    </row>
    <row r="62" spans="1:9" ht="14.25" customHeight="1" x14ac:dyDescent="0.3">
      <c r="A62" s="10"/>
      <c r="B62" s="10"/>
      <c r="C62" s="10"/>
      <c r="D62" s="10"/>
      <c r="E62" s="10"/>
      <c r="F62" s="10"/>
      <c r="G62" s="10"/>
      <c r="H62" s="10"/>
      <c r="I62" s="10"/>
    </row>
    <row r="63" spans="1:9" ht="14.25" customHeight="1" x14ac:dyDescent="0.3">
      <c r="A63" s="10"/>
      <c r="B63" s="10"/>
      <c r="C63" s="10"/>
      <c r="D63" s="10"/>
      <c r="E63" s="10"/>
      <c r="F63" s="10"/>
      <c r="G63" s="10"/>
      <c r="H63" s="10"/>
      <c r="I63" s="10"/>
    </row>
    <row r="64" spans="1:9" ht="14.25" customHeight="1" x14ac:dyDescent="0.3">
      <c r="A64" s="10"/>
      <c r="B64" s="10"/>
      <c r="C64" s="10"/>
      <c r="D64" s="10"/>
      <c r="E64" s="10"/>
      <c r="F64" s="10"/>
      <c r="G64" s="10"/>
      <c r="H64" s="10"/>
      <c r="I64" s="10"/>
    </row>
    <row r="65" spans="1:9" ht="14.25" customHeight="1" x14ac:dyDescent="0.3">
      <c r="A65" s="10"/>
      <c r="B65" s="10"/>
      <c r="C65" s="10"/>
      <c r="D65" s="10"/>
      <c r="E65" s="10"/>
      <c r="F65" s="10"/>
      <c r="G65" s="10"/>
      <c r="H65" s="10"/>
      <c r="I65" s="10"/>
    </row>
    <row r="66" spans="1:9" ht="14.25" customHeight="1" x14ac:dyDescent="0.3">
      <c r="A66" s="10"/>
      <c r="B66" s="10"/>
      <c r="C66" s="10"/>
      <c r="D66" s="10"/>
      <c r="E66" s="10"/>
      <c r="F66" s="10"/>
      <c r="G66" s="10"/>
      <c r="H66" s="10"/>
      <c r="I66" s="10"/>
    </row>
    <row r="67" spans="1:9" ht="14.25" customHeight="1" x14ac:dyDescent="0.3">
      <c r="A67" s="10"/>
      <c r="B67" s="10"/>
      <c r="C67" s="10"/>
      <c r="D67" s="10"/>
      <c r="E67" s="10"/>
      <c r="F67" s="10"/>
      <c r="G67" s="10"/>
      <c r="H67" s="10"/>
      <c r="I67" s="10"/>
    </row>
    <row r="68" spans="1:9" ht="14.25" customHeight="1" x14ac:dyDescent="0.3">
      <c r="A68" s="10"/>
      <c r="B68" s="10"/>
      <c r="C68" s="10"/>
      <c r="D68" s="10"/>
      <c r="E68" s="10"/>
      <c r="F68" s="10"/>
      <c r="G68" s="10"/>
      <c r="H68" s="10"/>
      <c r="I68" s="10"/>
    </row>
    <row r="69" spans="1:9" ht="14.25" customHeight="1" x14ac:dyDescent="0.3">
      <c r="A69" s="10"/>
      <c r="B69" s="10"/>
      <c r="C69" s="10"/>
      <c r="D69" s="10"/>
      <c r="E69" s="10"/>
      <c r="F69" s="10"/>
      <c r="G69" s="10"/>
      <c r="H69" s="10"/>
      <c r="I69" s="10"/>
    </row>
    <row r="70" spans="1:9" ht="14.25" customHeight="1" x14ac:dyDescent="0.3">
      <c r="A70" s="10"/>
      <c r="B70" s="10"/>
      <c r="C70" s="10"/>
      <c r="D70" s="10"/>
      <c r="E70" s="10"/>
      <c r="F70" s="10"/>
      <c r="G70" s="10"/>
      <c r="H70" s="10"/>
      <c r="I70" s="10"/>
    </row>
    <row r="71" spans="1:9" ht="14.25" customHeight="1" x14ac:dyDescent="0.3">
      <c r="A71" s="10"/>
      <c r="B71" s="10"/>
      <c r="C71" s="10"/>
      <c r="D71" s="10"/>
      <c r="E71" s="10"/>
      <c r="F71" s="10"/>
      <c r="G71" s="10"/>
      <c r="H71" s="10"/>
      <c r="I71" s="10"/>
    </row>
    <row r="72" spans="1:9" ht="14.25" customHeight="1" x14ac:dyDescent="0.3">
      <c r="A72" s="10"/>
      <c r="B72" s="10"/>
      <c r="C72" s="10"/>
      <c r="D72" s="10"/>
      <c r="E72" s="10"/>
      <c r="F72" s="10"/>
      <c r="G72" s="10"/>
      <c r="H72" s="10"/>
      <c r="I72" s="10"/>
    </row>
    <row r="73" spans="1:9" ht="14.25" customHeight="1" x14ac:dyDescent="0.3">
      <c r="A73" s="10"/>
      <c r="B73" s="10"/>
      <c r="C73" s="10"/>
      <c r="D73" s="10"/>
      <c r="E73" s="10"/>
      <c r="F73" s="10"/>
      <c r="G73" s="10"/>
      <c r="H73" s="10"/>
      <c r="I73" s="10"/>
    </row>
    <row r="74" spans="1:9" ht="14.25" customHeight="1" x14ac:dyDescent="0.3">
      <c r="A74" s="10"/>
      <c r="B74" s="10"/>
      <c r="C74" s="10"/>
      <c r="D74" s="10"/>
      <c r="E74" s="10"/>
      <c r="F74" s="10"/>
      <c r="G74" s="10"/>
      <c r="H74" s="10"/>
      <c r="I74" s="10"/>
    </row>
    <row r="75" spans="1:9" ht="14.25" customHeight="1" x14ac:dyDescent="0.3">
      <c r="A75" s="10"/>
      <c r="B75" s="10"/>
      <c r="C75" s="10"/>
      <c r="D75" s="10"/>
      <c r="E75" s="10"/>
      <c r="F75" s="10"/>
      <c r="G75" s="10"/>
      <c r="H75" s="10"/>
      <c r="I75" s="10"/>
    </row>
    <row r="76" spans="1:9" ht="14.25" customHeight="1" x14ac:dyDescent="0.3">
      <c r="A76" s="10"/>
      <c r="B76" s="10"/>
      <c r="C76" s="10"/>
      <c r="D76" s="10"/>
      <c r="E76" s="10"/>
      <c r="F76" s="10"/>
      <c r="G76" s="10"/>
      <c r="H76" s="10"/>
      <c r="I76" s="10"/>
    </row>
    <row r="77" spans="1:9" ht="14.25" customHeight="1" x14ac:dyDescent="0.3">
      <c r="A77" s="10"/>
      <c r="B77" s="10"/>
      <c r="C77" s="10"/>
      <c r="D77" s="10"/>
      <c r="E77" s="10"/>
      <c r="F77" s="10"/>
      <c r="G77" s="10"/>
      <c r="H77" s="10"/>
      <c r="I77" s="10"/>
    </row>
    <row r="78" spans="1:9" ht="14.25" customHeight="1" x14ac:dyDescent="0.3">
      <c r="A78" s="10"/>
      <c r="B78" s="10"/>
      <c r="C78" s="10"/>
      <c r="D78" s="10"/>
      <c r="E78" s="10"/>
      <c r="F78" s="10"/>
      <c r="G78" s="10"/>
      <c r="H78" s="10"/>
      <c r="I78" s="10"/>
    </row>
    <row r="79" spans="1:9" ht="14.25" customHeight="1" x14ac:dyDescent="0.3">
      <c r="A79" s="10"/>
      <c r="B79" s="10"/>
      <c r="C79" s="10"/>
      <c r="D79" s="10"/>
      <c r="E79" s="10"/>
      <c r="F79" s="10"/>
      <c r="G79" s="10"/>
      <c r="H79" s="10"/>
      <c r="I79" s="10"/>
    </row>
    <row r="80" spans="1:9" ht="14.25" customHeight="1" x14ac:dyDescent="0.3">
      <c r="A80" s="10"/>
      <c r="B80" s="10"/>
      <c r="C80" s="10"/>
      <c r="D80" s="10"/>
      <c r="E80" s="10"/>
      <c r="F80" s="10"/>
      <c r="G80" s="10"/>
      <c r="H80" s="10"/>
      <c r="I80" s="10"/>
    </row>
    <row r="81" spans="1:9" ht="14.25" customHeight="1" x14ac:dyDescent="0.3">
      <c r="A81" s="10"/>
      <c r="B81" s="10"/>
      <c r="C81" s="10"/>
      <c r="D81" s="10"/>
      <c r="E81" s="10"/>
      <c r="F81" s="10"/>
      <c r="G81" s="10"/>
      <c r="H81" s="10"/>
      <c r="I81" s="10"/>
    </row>
    <row r="82" spans="1:9" ht="14.25" customHeight="1" x14ac:dyDescent="0.3">
      <c r="A82" s="10"/>
      <c r="B82" s="10"/>
      <c r="C82" s="10"/>
      <c r="D82" s="10"/>
      <c r="E82" s="10"/>
      <c r="F82" s="10"/>
      <c r="G82" s="10"/>
      <c r="H82" s="10"/>
      <c r="I82" s="10"/>
    </row>
    <row r="83" spans="1:9" ht="14.25" customHeight="1" x14ac:dyDescent="0.3">
      <c r="A83" s="10"/>
      <c r="B83" s="10"/>
      <c r="C83" s="10"/>
      <c r="D83" s="10"/>
      <c r="E83" s="10"/>
      <c r="F83" s="10"/>
      <c r="G83" s="10"/>
      <c r="H83" s="10"/>
      <c r="I83" s="10"/>
    </row>
    <row r="84" spans="1:9" ht="14.25" customHeight="1" x14ac:dyDescent="0.3">
      <c r="A84" s="10"/>
      <c r="B84" s="10"/>
      <c r="C84" s="10"/>
      <c r="D84" s="10"/>
      <c r="E84" s="10"/>
      <c r="F84" s="10"/>
      <c r="G84" s="10"/>
      <c r="H84" s="10"/>
      <c r="I84" s="10"/>
    </row>
    <row r="85" spans="1:9" ht="14.25" customHeight="1" x14ac:dyDescent="0.3">
      <c r="A85" s="10"/>
      <c r="B85" s="10"/>
      <c r="C85" s="10"/>
      <c r="D85" s="10"/>
      <c r="E85" s="10"/>
      <c r="F85" s="10"/>
      <c r="G85" s="10"/>
      <c r="H85" s="10"/>
      <c r="I85" s="10"/>
    </row>
    <row r="86" spans="1:9" ht="14.25" customHeight="1" x14ac:dyDescent="0.3">
      <c r="A86" s="10"/>
      <c r="B86" s="10"/>
      <c r="C86" s="10"/>
      <c r="D86" s="10"/>
      <c r="E86" s="10"/>
      <c r="F86" s="10"/>
      <c r="G86" s="10"/>
      <c r="H86" s="10"/>
      <c r="I86" s="10"/>
    </row>
    <row r="87" spans="1:9" ht="14.25" customHeight="1" x14ac:dyDescent="0.3">
      <c r="A87" s="10"/>
      <c r="B87" s="10"/>
      <c r="C87" s="10"/>
      <c r="D87" s="10"/>
      <c r="E87" s="10"/>
      <c r="F87" s="10"/>
      <c r="G87" s="10"/>
      <c r="H87" s="10"/>
      <c r="I87" s="10"/>
    </row>
    <row r="88" spans="1:9" ht="14.25" customHeight="1" x14ac:dyDescent="0.3">
      <c r="A88" s="10"/>
      <c r="B88" s="10"/>
      <c r="C88" s="10"/>
      <c r="D88" s="10"/>
      <c r="E88" s="10"/>
      <c r="F88" s="10"/>
      <c r="G88" s="10"/>
      <c r="H88" s="10"/>
      <c r="I88" s="10"/>
    </row>
    <row r="89" spans="1:9" ht="14.25" customHeight="1" x14ac:dyDescent="0.3">
      <c r="A89" s="10"/>
      <c r="B89" s="10"/>
      <c r="C89" s="10"/>
      <c r="D89" s="10"/>
      <c r="E89" s="10"/>
      <c r="F89" s="10"/>
      <c r="G89" s="10"/>
      <c r="H89" s="10"/>
      <c r="I89" s="10"/>
    </row>
    <row r="90" spans="1:9" ht="14.25" customHeight="1" x14ac:dyDescent="0.3">
      <c r="A90" s="10"/>
      <c r="B90" s="10"/>
      <c r="C90" s="10"/>
      <c r="D90" s="10"/>
      <c r="E90" s="10"/>
      <c r="F90" s="10"/>
      <c r="G90" s="10"/>
      <c r="H90" s="10"/>
      <c r="I90" s="10"/>
    </row>
    <row r="91" spans="1:9" ht="14.25" customHeight="1" x14ac:dyDescent="0.3">
      <c r="A91" s="10"/>
      <c r="B91" s="10"/>
      <c r="C91" s="10"/>
      <c r="D91" s="10"/>
      <c r="E91" s="10"/>
      <c r="F91" s="10"/>
      <c r="G91" s="10"/>
      <c r="H91" s="10"/>
      <c r="I91" s="10"/>
    </row>
    <row r="92" spans="1:9" ht="14.25" customHeight="1" x14ac:dyDescent="0.3">
      <c r="A92" s="10"/>
      <c r="B92" s="10"/>
      <c r="C92" s="10"/>
      <c r="D92" s="10"/>
      <c r="E92" s="10"/>
      <c r="F92" s="10"/>
      <c r="G92" s="10"/>
      <c r="H92" s="10"/>
      <c r="I92" s="10"/>
    </row>
    <row r="93" spans="1:9" ht="14.25" customHeight="1" x14ac:dyDescent="0.3">
      <c r="A93" s="10"/>
      <c r="B93" s="10"/>
      <c r="C93" s="10"/>
      <c r="D93" s="10"/>
      <c r="E93" s="10"/>
      <c r="F93" s="10"/>
      <c r="G93" s="10"/>
      <c r="H93" s="10"/>
      <c r="I93" s="10"/>
    </row>
    <row r="94" spans="1:9" ht="14.25" customHeight="1" x14ac:dyDescent="0.3">
      <c r="A94" s="10"/>
      <c r="B94" s="10"/>
      <c r="C94" s="10"/>
      <c r="D94" s="10"/>
      <c r="E94" s="10"/>
      <c r="F94" s="10"/>
      <c r="G94" s="10"/>
      <c r="H94" s="10"/>
      <c r="I94" s="10"/>
    </row>
    <row r="95" spans="1:9" ht="14.25" customHeight="1" x14ac:dyDescent="0.3">
      <c r="A95" s="10"/>
      <c r="B95" s="10"/>
      <c r="C95" s="10"/>
      <c r="D95" s="10"/>
      <c r="E95" s="10"/>
      <c r="F95" s="10"/>
      <c r="G95" s="10"/>
      <c r="H95" s="10"/>
      <c r="I95" s="10"/>
    </row>
    <row r="96" spans="1:9" ht="14.25" customHeight="1" x14ac:dyDescent="0.3">
      <c r="A96" s="10"/>
      <c r="B96" s="10"/>
      <c r="C96" s="10"/>
      <c r="D96" s="10"/>
      <c r="E96" s="10"/>
      <c r="F96" s="10"/>
      <c r="G96" s="10"/>
      <c r="H96" s="10"/>
      <c r="I96" s="10"/>
    </row>
    <row r="97" spans="1:9" ht="14.25" customHeight="1" x14ac:dyDescent="0.3">
      <c r="A97" s="10"/>
      <c r="B97" s="10"/>
      <c r="C97" s="10"/>
      <c r="D97" s="10"/>
      <c r="E97" s="10"/>
      <c r="F97" s="10"/>
      <c r="G97" s="10"/>
      <c r="H97" s="10"/>
      <c r="I97" s="10"/>
    </row>
    <row r="98" spans="1:9" ht="14.25" customHeight="1" x14ac:dyDescent="0.3">
      <c r="A98" s="10"/>
      <c r="B98" s="10"/>
      <c r="C98" s="10"/>
      <c r="D98" s="10"/>
      <c r="E98" s="10"/>
      <c r="F98" s="10"/>
      <c r="G98" s="10"/>
      <c r="H98" s="10"/>
      <c r="I98" s="10"/>
    </row>
    <row r="99" spans="1:9" ht="14.25" customHeight="1" x14ac:dyDescent="0.3">
      <c r="A99" s="10"/>
      <c r="B99" s="10"/>
      <c r="C99" s="10"/>
      <c r="D99" s="10"/>
      <c r="E99" s="10"/>
      <c r="F99" s="10"/>
      <c r="G99" s="10"/>
      <c r="H99" s="10"/>
      <c r="I99" s="10"/>
    </row>
    <row r="100" spans="1:9" ht="14.25" customHeight="1" x14ac:dyDescent="0.3">
      <c r="A100" s="10"/>
      <c r="B100" s="10"/>
      <c r="C100" s="10"/>
      <c r="D100" s="10"/>
      <c r="E100" s="10"/>
      <c r="F100" s="10"/>
      <c r="G100" s="10"/>
      <c r="H100" s="10"/>
      <c r="I100" s="10"/>
    </row>
    <row r="101" spans="1:9" ht="14.25" customHeight="1" x14ac:dyDescent="0.3">
      <c r="A101" s="10"/>
      <c r="B101" s="10"/>
      <c r="C101" s="10"/>
      <c r="D101" s="10"/>
      <c r="E101" s="10"/>
      <c r="F101" s="10"/>
      <c r="G101" s="10"/>
      <c r="H101" s="10"/>
      <c r="I101" s="10"/>
    </row>
    <row r="102" spans="1:9" ht="14.25" customHeight="1" x14ac:dyDescent="0.3">
      <c r="A102" s="10"/>
      <c r="B102" s="10"/>
      <c r="C102" s="10"/>
      <c r="D102" s="10"/>
      <c r="E102" s="10"/>
      <c r="F102" s="10"/>
      <c r="G102" s="10"/>
      <c r="H102" s="10"/>
      <c r="I102" s="10"/>
    </row>
    <row r="103" spans="1:9" ht="14.25" customHeight="1" x14ac:dyDescent="0.3">
      <c r="A103" s="10"/>
      <c r="B103" s="10"/>
      <c r="C103" s="10"/>
      <c r="D103" s="10"/>
      <c r="E103" s="10"/>
      <c r="F103" s="10"/>
      <c r="G103" s="10"/>
      <c r="H103" s="10"/>
      <c r="I103" s="10"/>
    </row>
    <row r="104" spans="1:9" ht="14.25" customHeight="1" x14ac:dyDescent="0.3">
      <c r="A104" s="10"/>
      <c r="B104" s="10"/>
      <c r="C104" s="10"/>
      <c r="D104" s="10"/>
      <c r="E104" s="10"/>
      <c r="F104" s="10"/>
      <c r="G104" s="10"/>
      <c r="H104" s="10"/>
      <c r="I104" s="10"/>
    </row>
    <row r="105" spans="1:9" ht="14.25" customHeight="1" x14ac:dyDescent="0.3">
      <c r="A105" s="10"/>
      <c r="B105" s="10"/>
      <c r="C105" s="10"/>
      <c r="D105" s="10"/>
      <c r="E105" s="10"/>
      <c r="F105" s="10"/>
      <c r="G105" s="10"/>
      <c r="H105" s="10"/>
      <c r="I105" s="10"/>
    </row>
    <row r="106" spans="1:9" ht="14.25" customHeight="1" x14ac:dyDescent="0.3">
      <c r="A106" s="10"/>
      <c r="B106" s="10"/>
      <c r="C106" s="10"/>
      <c r="D106" s="10"/>
      <c r="E106" s="10"/>
      <c r="F106" s="10"/>
      <c r="G106" s="10"/>
      <c r="H106" s="10"/>
      <c r="I106" s="10"/>
    </row>
    <row r="107" spans="1:9" ht="14.25" customHeight="1" x14ac:dyDescent="0.3">
      <c r="A107" s="10"/>
      <c r="B107" s="10"/>
      <c r="C107" s="10"/>
      <c r="D107" s="10"/>
      <c r="E107" s="10"/>
      <c r="F107" s="10"/>
      <c r="G107" s="10"/>
      <c r="H107" s="10"/>
      <c r="I107" s="10"/>
    </row>
    <row r="108" spans="1:9" ht="14.25" customHeight="1" x14ac:dyDescent="0.3">
      <c r="A108" s="10"/>
      <c r="B108" s="10"/>
      <c r="C108" s="10"/>
      <c r="D108" s="10"/>
      <c r="E108" s="10"/>
      <c r="F108" s="10"/>
      <c r="G108" s="10"/>
      <c r="H108" s="10"/>
      <c r="I108" s="10"/>
    </row>
    <row r="109" spans="1:9" ht="14.25" customHeight="1" x14ac:dyDescent="0.3">
      <c r="A109" s="10"/>
      <c r="B109" s="10"/>
      <c r="C109" s="10"/>
      <c r="D109" s="10"/>
      <c r="E109" s="10"/>
      <c r="F109" s="10"/>
      <c r="G109" s="10"/>
      <c r="H109" s="10"/>
      <c r="I109" s="10"/>
    </row>
    <row r="110" spans="1:9" ht="14.25" customHeight="1" x14ac:dyDescent="0.3">
      <c r="A110" s="10"/>
      <c r="B110" s="10"/>
      <c r="C110" s="10"/>
      <c r="D110" s="10"/>
      <c r="E110" s="10"/>
      <c r="F110" s="10"/>
      <c r="G110" s="10"/>
      <c r="H110" s="10"/>
      <c r="I110" s="10"/>
    </row>
    <row r="111" spans="1:9" ht="14.25" customHeight="1" x14ac:dyDescent="0.3">
      <c r="A111" s="10"/>
      <c r="B111" s="10"/>
      <c r="C111" s="10"/>
      <c r="D111" s="10"/>
      <c r="E111" s="10"/>
      <c r="F111" s="10"/>
      <c r="G111" s="10"/>
      <c r="H111" s="10"/>
      <c r="I111" s="10"/>
    </row>
    <row r="112" spans="1:9" ht="14.25" customHeight="1" x14ac:dyDescent="0.3">
      <c r="A112" s="10"/>
      <c r="B112" s="10"/>
      <c r="C112" s="10"/>
      <c r="D112" s="10"/>
      <c r="E112" s="10"/>
      <c r="F112" s="10"/>
      <c r="G112" s="10"/>
      <c r="H112" s="10"/>
      <c r="I112" s="10"/>
    </row>
    <row r="113" spans="1:9" ht="14.25" customHeight="1" x14ac:dyDescent="0.3">
      <c r="A113" s="10"/>
      <c r="B113" s="10"/>
      <c r="C113" s="10"/>
      <c r="D113" s="10"/>
      <c r="E113" s="10"/>
      <c r="F113" s="10"/>
      <c r="G113" s="10"/>
      <c r="H113" s="10"/>
      <c r="I113" s="10"/>
    </row>
    <row r="114" spans="1:9" ht="14.25" customHeight="1" x14ac:dyDescent="0.3">
      <c r="A114" s="10"/>
      <c r="B114" s="10"/>
      <c r="C114" s="10"/>
      <c r="D114" s="10"/>
      <c r="E114" s="10"/>
      <c r="F114" s="10"/>
      <c r="G114" s="10"/>
      <c r="H114" s="10"/>
      <c r="I114" s="10"/>
    </row>
    <row r="115" spans="1:9" ht="14.25" customHeight="1" x14ac:dyDescent="0.3">
      <c r="A115" s="10"/>
      <c r="B115" s="10"/>
      <c r="C115" s="10"/>
      <c r="D115" s="10"/>
      <c r="E115" s="10"/>
      <c r="F115" s="10"/>
      <c r="G115" s="10"/>
      <c r="H115" s="10"/>
      <c r="I115" s="10"/>
    </row>
    <row r="116" spans="1:9" ht="14.25" customHeight="1" x14ac:dyDescent="0.3">
      <c r="A116" s="10"/>
      <c r="B116" s="10"/>
      <c r="C116" s="10"/>
      <c r="D116" s="10"/>
      <c r="E116" s="10"/>
      <c r="F116" s="10"/>
      <c r="G116" s="10"/>
      <c r="H116" s="10"/>
      <c r="I116" s="10"/>
    </row>
    <row r="117" spans="1:9" ht="14.25" customHeight="1" x14ac:dyDescent="0.3">
      <c r="A117" s="10"/>
      <c r="B117" s="10"/>
      <c r="C117" s="10"/>
      <c r="D117" s="10"/>
      <c r="E117" s="10"/>
      <c r="F117" s="10"/>
      <c r="G117" s="10"/>
      <c r="H117" s="10"/>
      <c r="I117" s="10"/>
    </row>
    <row r="118" spans="1:9" ht="14.25" customHeight="1" x14ac:dyDescent="0.3">
      <c r="A118" s="10"/>
      <c r="B118" s="10"/>
      <c r="C118" s="10"/>
      <c r="D118" s="10"/>
      <c r="E118" s="10"/>
      <c r="F118" s="10"/>
      <c r="G118" s="10"/>
      <c r="H118" s="10"/>
      <c r="I118" s="10"/>
    </row>
    <row r="119" spans="1:9" ht="14.25" customHeight="1" x14ac:dyDescent="0.3">
      <c r="A119" s="10"/>
      <c r="B119" s="10"/>
      <c r="C119" s="10"/>
      <c r="D119" s="10"/>
      <c r="E119" s="10"/>
      <c r="F119" s="10"/>
      <c r="G119" s="10"/>
      <c r="H119" s="10"/>
      <c r="I119" s="10"/>
    </row>
    <row r="120" spans="1:9" ht="14.25" customHeight="1" x14ac:dyDescent="0.3">
      <c r="A120" s="10"/>
      <c r="B120" s="10"/>
      <c r="C120" s="10"/>
      <c r="D120" s="10"/>
      <c r="E120" s="10"/>
      <c r="F120" s="10"/>
      <c r="G120" s="10"/>
      <c r="H120" s="10"/>
      <c r="I120" s="10"/>
    </row>
    <row r="121" spans="1:9" ht="14.25" customHeight="1" x14ac:dyDescent="0.3">
      <c r="A121" s="10"/>
      <c r="B121" s="10"/>
      <c r="C121" s="10"/>
      <c r="D121" s="10"/>
      <c r="E121" s="10"/>
      <c r="F121" s="10"/>
      <c r="G121" s="10"/>
      <c r="H121" s="10"/>
      <c r="I121" s="10"/>
    </row>
    <row r="122" spans="1:9" ht="14.25" customHeight="1" x14ac:dyDescent="0.3">
      <c r="A122" s="10"/>
      <c r="B122" s="10"/>
      <c r="C122" s="10"/>
      <c r="D122" s="10"/>
      <c r="E122" s="10"/>
      <c r="F122" s="10"/>
      <c r="G122" s="10"/>
      <c r="H122" s="10"/>
      <c r="I122" s="10"/>
    </row>
    <row r="123" spans="1:9" ht="14.25" customHeight="1" x14ac:dyDescent="0.3">
      <c r="A123" s="10"/>
      <c r="B123" s="10"/>
      <c r="C123" s="10"/>
      <c r="D123" s="10"/>
      <c r="E123" s="10"/>
      <c r="F123" s="10"/>
      <c r="G123" s="10"/>
      <c r="H123" s="10"/>
      <c r="I123" s="10"/>
    </row>
    <row r="124" spans="1:9" ht="14.25" customHeight="1" x14ac:dyDescent="0.3">
      <c r="A124" s="10"/>
      <c r="B124" s="10"/>
      <c r="C124" s="10"/>
      <c r="D124" s="10"/>
      <c r="E124" s="10"/>
      <c r="F124" s="10"/>
      <c r="G124" s="10"/>
      <c r="H124" s="10"/>
      <c r="I124" s="10"/>
    </row>
    <row r="125" spans="1:9" ht="14.25" customHeight="1" x14ac:dyDescent="0.3">
      <c r="A125" s="10"/>
      <c r="B125" s="10"/>
      <c r="C125" s="10"/>
      <c r="D125" s="10"/>
      <c r="E125" s="10"/>
      <c r="F125" s="10"/>
      <c r="G125" s="10"/>
      <c r="H125" s="10"/>
      <c r="I125" s="10"/>
    </row>
    <row r="126" spans="1:9" ht="14.25" customHeight="1" x14ac:dyDescent="0.3">
      <c r="A126" s="10"/>
      <c r="B126" s="10"/>
      <c r="C126" s="10"/>
      <c r="D126" s="10"/>
      <c r="E126" s="10"/>
      <c r="F126" s="10"/>
      <c r="G126" s="10"/>
      <c r="H126" s="10"/>
      <c r="I126" s="10"/>
    </row>
    <row r="127" spans="1:9" ht="14.25" customHeight="1" x14ac:dyDescent="0.3">
      <c r="A127" s="10"/>
      <c r="B127" s="10"/>
      <c r="C127" s="10"/>
      <c r="D127" s="10"/>
      <c r="E127" s="10"/>
      <c r="F127" s="10"/>
      <c r="G127" s="10"/>
      <c r="H127" s="10"/>
      <c r="I127" s="10"/>
    </row>
    <row r="128" spans="1:9" ht="14.25" customHeight="1" x14ac:dyDescent="0.3">
      <c r="A128" s="10"/>
      <c r="B128" s="10"/>
      <c r="C128" s="10"/>
      <c r="D128" s="10"/>
      <c r="E128" s="10"/>
      <c r="F128" s="10"/>
      <c r="G128" s="10"/>
      <c r="H128" s="10"/>
      <c r="I128" s="10"/>
    </row>
    <row r="129" spans="1:9" ht="14.25" customHeight="1" x14ac:dyDescent="0.3">
      <c r="A129" s="10"/>
      <c r="B129" s="10"/>
      <c r="C129" s="10"/>
      <c r="D129" s="10"/>
      <c r="E129" s="10"/>
      <c r="F129" s="10"/>
      <c r="G129" s="10"/>
      <c r="H129" s="10"/>
      <c r="I129" s="10"/>
    </row>
    <row r="130" spans="1:9" ht="14.25" customHeight="1" x14ac:dyDescent="0.3">
      <c r="A130" s="10"/>
      <c r="B130" s="10"/>
      <c r="C130" s="10"/>
      <c r="D130" s="10"/>
      <c r="E130" s="10"/>
      <c r="F130" s="10"/>
      <c r="G130" s="10"/>
      <c r="H130" s="10"/>
      <c r="I130" s="10"/>
    </row>
    <row r="131" spans="1:9" ht="14.25" customHeight="1" x14ac:dyDescent="0.3">
      <c r="A131" s="10"/>
      <c r="B131" s="10"/>
      <c r="C131" s="10"/>
      <c r="D131" s="10"/>
      <c r="E131" s="10"/>
      <c r="F131" s="10"/>
      <c r="G131" s="10"/>
      <c r="H131" s="10"/>
      <c r="I131" s="10"/>
    </row>
    <row r="132" spans="1:9" ht="14.25" customHeight="1" x14ac:dyDescent="0.3">
      <c r="A132" s="10"/>
      <c r="B132" s="10"/>
      <c r="C132" s="10"/>
      <c r="D132" s="10"/>
      <c r="E132" s="10"/>
      <c r="F132" s="10"/>
      <c r="G132" s="10"/>
      <c r="H132" s="10"/>
      <c r="I132" s="10"/>
    </row>
    <row r="133" spans="1:9" ht="14.25" customHeight="1" x14ac:dyDescent="0.3">
      <c r="A133" s="10"/>
      <c r="B133" s="10"/>
      <c r="C133" s="10"/>
      <c r="D133" s="10"/>
      <c r="E133" s="10"/>
      <c r="F133" s="10"/>
      <c r="G133" s="10"/>
      <c r="H133" s="10"/>
      <c r="I133" s="10"/>
    </row>
    <row r="134" spans="1:9" ht="14.25" customHeight="1" x14ac:dyDescent="0.3">
      <c r="A134" s="10"/>
      <c r="B134" s="10"/>
      <c r="C134" s="10"/>
      <c r="D134" s="10"/>
      <c r="E134" s="10"/>
      <c r="F134" s="10"/>
      <c r="G134" s="10"/>
      <c r="H134" s="10"/>
      <c r="I134" s="10"/>
    </row>
    <row r="135" spans="1:9" ht="14.25" customHeight="1" x14ac:dyDescent="0.3">
      <c r="A135" s="10"/>
      <c r="B135" s="10"/>
      <c r="C135" s="10"/>
      <c r="D135" s="10"/>
      <c r="E135" s="10"/>
      <c r="F135" s="10"/>
      <c r="G135" s="10"/>
      <c r="H135" s="10"/>
      <c r="I135" s="10"/>
    </row>
    <row r="136" spans="1:9" ht="14.25" customHeight="1" x14ac:dyDescent="0.3">
      <c r="A136" s="10"/>
      <c r="B136" s="10"/>
      <c r="C136" s="10"/>
      <c r="D136" s="10"/>
      <c r="E136" s="10"/>
      <c r="F136" s="10"/>
      <c r="G136" s="10"/>
      <c r="H136" s="10"/>
      <c r="I136" s="10"/>
    </row>
    <row r="137" spans="1:9" ht="14.25" customHeight="1" x14ac:dyDescent="0.3">
      <c r="A137" s="10"/>
      <c r="B137" s="10"/>
      <c r="C137" s="10"/>
      <c r="D137" s="10"/>
      <c r="E137" s="10"/>
      <c r="F137" s="10"/>
      <c r="G137" s="10"/>
      <c r="H137" s="10"/>
      <c r="I137" s="10"/>
    </row>
    <row r="138" spans="1:9" ht="14.25" customHeight="1" x14ac:dyDescent="0.3">
      <c r="A138" s="10"/>
      <c r="B138" s="10"/>
      <c r="C138" s="10"/>
      <c r="D138" s="10"/>
      <c r="E138" s="10"/>
      <c r="F138" s="10"/>
      <c r="G138" s="10"/>
      <c r="H138" s="10"/>
      <c r="I138" s="10"/>
    </row>
    <row r="139" spans="1:9" ht="14.25" customHeight="1" x14ac:dyDescent="0.3">
      <c r="A139" s="10"/>
      <c r="B139" s="10"/>
      <c r="C139" s="10"/>
      <c r="D139" s="10"/>
      <c r="E139" s="10"/>
      <c r="F139" s="10"/>
      <c r="G139" s="10"/>
      <c r="H139" s="10"/>
      <c r="I139" s="10"/>
    </row>
    <row r="140" spans="1:9" ht="14.25" customHeight="1" x14ac:dyDescent="0.3">
      <c r="A140" s="10"/>
      <c r="B140" s="10"/>
      <c r="C140" s="10"/>
      <c r="D140" s="10"/>
      <c r="E140" s="10"/>
      <c r="F140" s="10"/>
      <c r="G140" s="10"/>
      <c r="H140" s="10"/>
      <c r="I140" s="10"/>
    </row>
    <row r="141" spans="1:9" ht="14.25" customHeight="1" x14ac:dyDescent="0.3">
      <c r="A141" s="10"/>
      <c r="B141" s="10"/>
      <c r="C141" s="10"/>
      <c r="D141" s="10"/>
      <c r="E141" s="10"/>
      <c r="F141" s="10"/>
      <c r="G141" s="10"/>
      <c r="H141" s="10"/>
      <c r="I141" s="10"/>
    </row>
    <row r="142" spans="1:9" ht="14.25" customHeight="1" x14ac:dyDescent="0.3">
      <c r="A142" s="10"/>
      <c r="B142" s="10"/>
      <c r="C142" s="10"/>
      <c r="D142" s="10"/>
      <c r="E142" s="10"/>
      <c r="F142" s="10"/>
      <c r="G142" s="10"/>
      <c r="H142" s="10"/>
      <c r="I142" s="10"/>
    </row>
    <row r="143" spans="1:9" ht="14.25" customHeight="1" x14ac:dyDescent="0.3">
      <c r="A143" s="10"/>
      <c r="B143" s="10"/>
      <c r="C143" s="10"/>
      <c r="D143" s="10"/>
      <c r="E143" s="10"/>
      <c r="F143" s="10"/>
      <c r="G143" s="10"/>
      <c r="H143" s="10"/>
      <c r="I143" s="10"/>
    </row>
    <row r="144" spans="1:9" ht="14.25" customHeight="1" x14ac:dyDescent="0.3">
      <c r="A144" s="10"/>
      <c r="B144" s="10"/>
      <c r="C144" s="10"/>
      <c r="D144" s="10"/>
      <c r="E144" s="10"/>
      <c r="F144" s="10"/>
      <c r="G144" s="10"/>
      <c r="H144" s="10"/>
      <c r="I144" s="10"/>
    </row>
    <row r="145" spans="1:9" ht="14.25" customHeight="1" x14ac:dyDescent="0.3">
      <c r="A145" s="10"/>
      <c r="B145" s="10"/>
      <c r="C145" s="10"/>
      <c r="D145" s="10"/>
      <c r="E145" s="10"/>
      <c r="F145" s="10"/>
      <c r="G145" s="10"/>
      <c r="H145" s="10"/>
      <c r="I145" s="10"/>
    </row>
    <row r="146" spans="1:9" ht="14.25" customHeight="1" x14ac:dyDescent="0.3">
      <c r="A146" s="10"/>
      <c r="B146" s="10"/>
      <c r="C146" s="10"/>
      <c r="D146" s="10"/>
      <c r="E146" s="10"/>
      <c r="F146" s="10"/>
      <c r="G146" s="10"/>
      <c r="H146" s="10"/>
      <c r="I146" s="10"/>
    </row>
    <row r="147" spans="1:9" ht="14.25" customHeight="1" x14ac:dyDescent="0.3">
      <c r="A147" s="10"/>
      <c r="B147" s="10"/>
      <c r="C147" s="10"/>
      <c r="D147" s="10"/>
      <c r="E147" s="10"/>
      <c r="F147" s="10"/>
      <c r="G147" s="10"/>
      <c r="H147" s="10"/>
      <c r="I147" s="10"/>
    </row>
    <row r="148" spans="1:9" ht="14.25" customHeight="1" x14ac:dyDescent="0.3">
      <c r="A148" s="10"/>
      <c r="B148" s="10"/>
      <c r="C148" s="10"/>
      <c r="D148" s="10"/>
      <c r="E148" s="10"/>
      <c r="F148" s="10"/>
      <c r="G148" s="10"/>
      <c r="H148" s="10"/>
      <c r="I148" s="10"/>
    </row>
    <row r="149" spans="1:9" ht="14.25" customHeight="1" x14ac:dyDescent="0.3">
      <c r="A149" s="10"/>
      <c r="B149" s="10"/>
      <c r="C149" s="10"/>
      <c r="D149" s="10"/>
      <c r="E149" s="10"/>
      <c r="F149" s="10"/>
      <c r="G149" s="10"/>
      <c r="H149" s="10"/>
      <c r="I149" s="10"/>
    </row>
    <row r="150" spans="1:9" ht="14.25" customHeight="1" x14ac:dyDescent="0.3">
      <c r="A150" s="10"/>
      <c r="B150" s="10"/>
      <c r="C150" s="10"/>
      <c r="D150" s="10"/>
      <c r="E150" s="10"/>
      <c r="F150" s="10"/>
      <c r="G150" s="10"/>
      <c r="H150" s="10"/>
      <c r="I150" s="10"/>
    </row>
    <row r="151" spans="1:9" ht="14.25" customHeight="1" x14ac:dyDescent="0.3">
      <c r="A151" s="10"/>
      <c r="B151" s="10"/>
      <c r="C151" s="10"/>
      <c r="D151" s="10"/>
      <c r="E151" s="10"/>
      <c r="F151" s="10"/>
      <c r="G151" s="10"/>
      <c r="H151" s="10"/>
      <c r="I151" s="10"/>
    </row>
    <row r="152" spans="1:9" ht="14.25" customHeight="1" x14ac:dyDescent="0.3">
      <c r="A152" s="10"/>
      <c r="B152" s="10"/>
      <c r="C152" s="10"/>
      <c r="D152" s="10"/>
      <c r="E152" s="10"/>
      <c r="F152" s="10"/>
      <c r="G152" s="10"/>
      <c r="H152" s="10"/>
      <c r="I152" s="10"/>
    </row>
    <row r="153" spans="1:9" ht="14.25" customHeight="1" x14ac:dyDescent="0.3">
      <c r="A153" s="10"/>
      <c r="B153" s="10"/>
      <c r="C153" s="10"/>
      <c r="D153" s="10"/>
      <c r="E153" s="10"/>
      <c r="F153" s="10"/>
      <c r="G153" s="10"/>
      <c r="H153" s="10"/>
      <c r="I153" s="10"/>
    </row>
    <row r="154" spans="1:9" ht="14.25" customHeight="1" x14ac:dyDescent="0.3">
      <c r="A154" s="10"/>
      <c r="B154" s="10"/>
      <c r="C154" s="10"/>
      <c r="D154" s="10"/>
      <c r="E154" s="10"/>
      <c r="F154" s="10"/>
      <c r="G154" s="10"/>
      <c r="H154" s="10"/>
      <c r="I154" s="10"/>
    </row>
    <row r="155" spans="1:9" ht="14.25" customHeight="1" x14ac:dyDescent="0.3">
      <c r="A155" s="10"/>
      <c r="B155" s="10"/>
      <c r="C155" s="10"/>
      <c r="D155" s="10"/>
      <c r="E155" s="10"/>
      <c r="F155" s="10"/>
      <c r="G155" s="10"/>
      <c r="H155" s="10"/>
      <c r="I155" s="10"/>
    </row>
    <row r="156" spans="1:9" ht="14.25" customHeight="1" x14ac:dyDescent="0.3">
      <c r="A156" s="10"/>
      <c r="B156" s="10"/>
      <c r="C156" s="10"/>
      <c r="D156" s="10"/>
      <c r="E156" s="10"/>
      <c r="F156" s="10"/>
      <c r="G156" s="10"/>
      <c r="H156" s="10"/>
      <c r="I156" s="10"/>
    </row>
    <row r="157" spans="1:9" ht="14.25" customHeight="1" x14ac:dyDescent="0.3">
      <c r="A157" s="10"/>
      <c r="B157" s="10"/>
      <c r="C157" s="10"/>
      <c r="D157" s="10"/>
      <c r="E157" s="10"/>
      <c r="F157" s="10"/>
      <c r="G157" s="10"/>
      <c r="H157" s="10"/>
      <c r="I157" s="10"/>
    </row>
    <row r="158" spans="1:9" ht="14.25" customHeight="1" x14ac:dyDescent="0.3">
      <c r="A158" s="10"/>
      <c r="B158" s="10"/>
      <c r="C158" s="10"/>
      <c r="D158" s="10"/>
      <c r="E158" s="10"/>
      <c r="F158" s="10"/>
      <c r="G158" s="10"/>
      <c r="H158" s="10"/>
      <c r="I158" s="10"/>
    </row>
    <row r="159" spans="1:9" ht="14.25" customHeight="1" x14ac:dyDescent="0.3">
      <c r="A159" s="10"/>
      <c r="B159" s="10"/>
      <c r="C159" s="10"/>
      <c r="D159" s="10"/>
      <c r="E159" s="10"/>
      <c r="F159" s="10"/>
      <c r="G159" s="10"/>
      <c r="H159" s="10"/>
      <c r="I159" s="10"/>
    </row>
    <row r="160" spans="1:9" ht="14.25" customHeight="1" x14ac:dyDescent="0.3">
      <c r="A160" s="10"/>
      <c r="B160" s="10"/>
      <c r="C160" s="10"/>
      <c r="D160" s="10"/>
      <c r="E160" s="10"/>
      <c r="F160" s="10"/>
      <c r="G160" s="10"/>
      <c r="H160" s="10"/>
      <c r="I160" s="10"/>
    </row>
    <row r="161" spans="1:9" ht="14.25" customHeight="1" x14ac:dyDescent="0.3">
      <c r="A161" s="10"/>
      <c r="B161" s="10"/>
      <c r="C161" s="10"/>
      <c r="D161" s="10"/>
      <c r="E161" s="10"/>
      <c r="F161" s="10"/>
      <c r="G161" s="10"/>
      <c r="H161" s="10"/>
      <c r="I161" s="10"/>
    </row>
    <row r="162" spans="1:9" ht="14.25" customHeight="1" x14ac:dyDescent="0.3">
      <c r="A162" s="10"/>
      <c r="B162" s="10"/>
      <c r="C162" s="10"/>
      <c r="D162" s="10"/>
      <c r="E162" s="10"/>
      <c r="F162" s="10"/>
      <c r="G162" s="10"/>
      <c r="H162" s="10"/>
      <c r="I162" s="10"/>
    </row>
    <row r="163" spans="1:9" ht="14.25" customHeight="1" x14ac:dyDescent="0.3">
      <c r="A163" s="10"/>
      <c r="B163" s="10"/>
      <c r="C163" s="10"/>
      <c r="D163" s="10"/>
      <c r="E163" s="10"/>
      <c r="F163" s="10"/>
      <c r="G163" s="10"/>
      <c r="H163" s="10"/>
      <c r="I163" s="10"/>
    </row>
    <row r="164" spans="1:9" ht="14.25" customHeight="1" x14ac:dyDescent="0.3">
      <c r="A164" s="10"/>
      <c r="B164" s="10"/>
      <c r="C164" s="10"/>
      <c r="D164" s="10"/>
      <c r="E164" s="10"/>
      <c r="F164" s="10"/>
      <c r="G164" s="10"/>
      <c r="H164" s="10"/>
      <c r="I164" s="10"/>
    </row>
    <row r="165" spans="1:9" ht="14.25" customHeight="1" x14ac:dyDescent="0.3">
      <c r="A165" s="10"/>
      <c r="B165" s="10"/>
      <c r="C165" s="10"/>
      <c r="D165" s="10"/>
      <c r="E165" s="10"/>
      <c r="F165" s="10"/>
      <c r="G165" s="10"/>
      <c r="H165" s="10"/>
      <c r="I165" s="10"/>
    </row>
    <row r="166" spans="1:9" ht="14.25" customHeight="1" x14ac:dyDescent="0.3">
      <c r="A166" s="10"/>
      <c r="B166" s="10"/>
      <c r="C166" s="10"/>
      <c r="D166" s="10"/>
      <c r="E166" s="10"/>
      <c r="F166" s="10"/>
      <c r="G166" s="10"/>
      <c r="H166" s="10"/>
      <c r="I166" s="10"/>
    </row>
    <row r="167" spans="1:9" ht="14.25" customHeight="1" x14ac:dyDescent="0.3">
      <c r="A167" s="10"/>
      <c r="B167" s="10"/>
      <c r="C167" s="10"/>
      <c r="D167" s="10"/>
      <c r="E167" s="10"/>
      <c r="F167" s="10"/>
      <c r="G167" s="10"/>
      <c r="H167" s="10"/>
      <c r="I167" s="10"/>
    </row>
    <row r="168" spans="1:9" ht="14.25" customHeight="1" x14ac:dyDescent="0.3">
      <c r="A168" s="10"/>
      <c r="B168" s="10"/>
      <c r="C168" s="10"/>
      <c r="D168" s="10"/>
      <c r="E168" s="10"/>
      <c r="F168" s="10"/>
      <c r="G168" s="10"/>
      <c r="H168" s="10"/>
      <c r="I168" s="10"/>
    </row>
    <row r="169" spans="1:9" ht="14.25" customHeight="1" x14ac:dyDescent="0.3">
      <c r="A169" s="10"/>
      <c r="B169" s="10"/>
      <c r="C169" s="10"/>
      <c r="D169" s="10"/>
      <c r="E169" s="10"/>
      <c r="F169" s="10"/>
      <c r="G169" s="10"/>
      <c r="H169" s="10"/>
      <c r="I169" s="10"/>
    </row>
    <row r="170" spans="1:9" ht="14.25" customHeight="1" x14ac:dyDescent="0.3">
      <c r="A170" s="10"/>
      <c r="B170" s="10"/>
      <c r="C170" s="10"/>
      <c r="D170" s="10"/>
      <c r="E170" s="10"/>
      <c r="F170" s="10"/>
      <c r="G170" s="10"/>
      <c r="H170" s="10"/>
      <c r="I170" s="10"/>
    </row>
    <row r="171" spans="1:9" ht="14.25" customHeight="1" x14ac:dyDescent="0.3">
      <c r="A171" s="10"/>
      <c r="B171" s="10"/>
      <c r="C171" s="10"/>
      <c r="D171" s="10"/>
      <c r="E171" s="10"/>
      <c r="F171" s="10"/>
      <c r="G171" s="10"/>
      <c r="H171" s="10"/>
      <c r="I171" s="10"/>
    </row>
    <row r="172" spans="1:9" ht="14.25" customHeight="1" x14ac:dyDescent="0.3">
      <c r="A172" s="10"/>
      <c r="B172" s="10"/>
      <c r="C172" s="10"/>
      <c r="D172" s="10"/>
      <c r="E172" s="10"/>
      <c r="F172" s="10"/>
      <c r="G172" s="10"/>
      <c r="H172" s="10"/>
      <c r="I172" s="10"/>
    </row>
    <row r="173" spans="1:9" ht="14.25" customHeight="1" x14ac:dyDescent="0.3">
      <c r="A173" s="10"/>
      <c r="B173" s="10"/>
      <c r="C173" s="10"/>
      <c r="D173" s="10"/>
      <c r="E173" s="10"/>
      <c r="F173" s="10"/>
      <c r="G173" s="10"/>
      <c r="H173" s="10"/>
      <c r="I173" s="10"/>
    </row>
    <row r="174" spans="1:9" ht="14.25" customHeight="1" x14ac:dyDescent="0.3">
      <c r="A174" s="10"/>
      <c r="B174" s="10"/>
      <c r="C174" s="10"/>
      <c r="D174" s="10"/>
      <c r="E174" s="10"/>
      <c r="F174" s="10"/>
      <c r="G174" s="10"/>
      <c r="H174" s="10"/>
      <c r="I174" s="10"/>
    </row>
    <row r="175" spans="1:9" ht="14.25" customHeight="1" x14ac:dyDescent="0.3">
      <c r="A175" s="10"/>
      <c r="B175" s="10"/>
      <c r="C175" s="10"/>
      <c r="D175" s="10"/>
      <c r="E175" s="10"/>
      <c r="F175" s="10"/>
      <c r="G175" s="10"/>
      <c r="H175" s="10"/>
      <c r="I175" s="10"/>
    </row>
    <row r="176" spans="1:9" ht="14.25" customHeight="1" x14ac:dyDescent="0.3">
      <c r="A176" s="10"/>
      <c r="B176" s="10"/>
      <c r="C176" s="10"/>
      <c r="D176" s="10"/>
      <c r="E176" s="10"/>
      <c r="F176" s="10"/>
      <c r="G176" s="10"/>
      <c r="H176" s="10"/>
      <c r="I176" s="10"/>
    </row>
    <row r="177" spans="1:9" ht="14.25" customHeight="1" x14ac:dyDescent="0.3">
      <c r="A177" s="10"/>
      <c r="B177" s="10"/>
      <c r="C177" s="10"/>
      <c r="D177" s="10"/>
      <c r="E177" s="10"/>
      <c r="F177" s="10"/>
      <c r="G177" s="10"/>
      <c r="H177" s="10"/>
      <c r="I177" s="10"/>
    </row>
    <row r="178" spans="1:9" ht="14.25" customHeight="1" x14ac:dyDescent="0.3">
      <c r="A178" s="10"/>
      <c r="B178" s="10"/>
      <c r="C178" s="10"/>
      <c r="D178" s="10"/>
      <c r="E178" s="10"/>
      <c r="F178" s="10"/>
      <c r="G178" s="10"/>
      <c r="H178" s="10"/>
      <c r="I178" s="10"/>
    </row>
    <row r="179" spans="1:9" ht="14.25" customHeight="1" x14ac:dyDescent="0.3">
      <c r="A179" s="10"/>
      <c r="B179" s="10"/>
      <c r="C179" s="10"/>
      <c r="D179" s="10"/>
      <c r="E179" s="10"/>
      <c r="F179" s="10"/>
      <c r="G179" s="10"/>
      <c r="H179" s="10"/>
      <c r="I179" s="10"/>
    </row>
    <row r="180" spans="1:9" ht="14.25" customHeight="1" x14ac:dyDescent="0.3">
      <c r="A180" s="10"/>
      <c r="B180" s="10"/>
      <c r="C180" s="10"/>
      <c r="D180" s="10"/>
      <c r="E180" s="10"/>
      <c r="F180" s="10"/>
      <c r="G180" s="10"/>
      <c r="H180" s="10"/>
      <c r="I180" s="10"/>
    </row>
    <row r="181" spans="1:9" ht="14.25" customHeight="1" x14ac:dyDescent="0.3">
      <c r="A181" s="10"/>
      <c r="B181" s="10"/>
      <c r="C181" s="10"/>
      <c r="D181" s="10"/>
      <c r="E181" s="10"/>
      <c r="F181" s="10"/>
      <c r="G181" s="10"/>
      <c r="H181" s="10"/>
      <c r="I181" s="10"/>
    </row>
    <row r="182" spans="1:9" ht="14.25" customHeight="1" x14ac:dyDescent="0.3">
      <c r="A182" s="10"/>
      <c r="B182" s="10"/>
      <c r="C182" s="10"/>
      <c r="D182" s="10"/>
      <c r="E182" s="10"/>
      <c r="F182" s="10"/>
      <c r="G182" s="10"/>
      <c r="H182" s="10"/>
      <c r="I182" s="10"/>
    </row>
    <row r="183" spans="1:9" ht="14.25" customHeight="1" x14ac:dyDescent="0.3">
      <c r="A183" s="10"/>
      <c r="B183" s="10"/>
      <c r="C183" s="10"/>
      <c r="D183" s="10"/>
      <c r="E183" s="10"/>
      <c r="F183" s="10"/>
      <c r="G183" s="10"/>
      <c r="H183" s="10"/>
      <c r="I183" s="10"/>
    </row>
    <row r="184" spans="1:9" ht="14.25" customHeight="1" x14ac:dyDescent="0.3">
      <c r="A184" s="10"/>
      <c r="B184" s="10"/>
      <c r="C184" s="10"/>
      <c r="D184" s="10"/>
      <c r="E184" s="10"/>
      <c r="F184" s="10"/>
      <c r="G184" s="10"/>
      <c r="H184" s="10"/>
      <c r="I184" s="10"/>
    </row>
    <row r="185" spans="1:9" ht="14.25" customHeight="1" x14ac:dyDescent="0.3">
      <c r="A185" s="10"/>
      <c r="B185" s="10"/>
      <c r="C185" s="10"/>
      <c r="D185" s="10"/>
      <c r="E185" s="10"/>
      <c r="F185" s="10"/>
      <c r="G185" s="10"/>
      <c r="H185" s="10"/>
      <c r="I185" s="10"/>
    </row>
    <row r="186" spans="1:9" ht="14.25" customHeight="1" x14ac:dyDescent="0.3">
      <c r="A186" s="10"/>
      <c r="B186" s="10"/>
      <c r="C186" s="10"/>
      <c r="D186" s="10"/>
      <c r="E186" s="10"/>
      <c r="F186" s="10"/>
      <c r="G186" s="10"/>
      <c r="H186" s="10"/>
      <c r="I186" s="10"/>
    </row>
    <row r="187" spans="1:9" ht="14.25" customHeight="1" x14ac:dyDescent="0.3">
      <c r="A187" s="10"/>
      <c r="B187" s="10"/>
      <c r="C187" s="10"/>
      <c r="D187" s="10"/>
      <c r="E187" s="10"/>
      <c r="F187" s="10"/>
      <c r="G187" s="10"/>
      <c r="H187" s="10"/>
      <c r="I187" s="10"/>
    </row>
    <row r="188" spans="1:9" ht="14.25" customHeight="1" x14ac:dyDescent="0.3">
      <c r="A188" s="10"/>
      <c r="B188" s="10"/>
      <c r="C188" s="10"/>
      <c r="D188" s="10"/>
      <c r="E188" s="10"/>
      <c r="F188" s="10"/>
      <c r="G188" s="10"/>
      <c r="H188" s="10"/>
      <c r="I188" s="10"/>
    </row>
    <row r="189" spans="1:9" ht="14.25" customHeight="1" x14ac:dyDescent="0.3">
      <c r="A189" s="10"/>
      <c r="B189" s="10"/>
      <c r="C189" s="10"/>
      <c r="D189" s="10"/>
      <c r="E189" s="10"/>
      <c r="F189" s="10"/>
      <c r="G189" s="10"/>
      <c r="H189" s="10"/>
      <c r="I189" s="10"/>
    </row>
    <row r="190" spans="1:9" ht="14.25" customHeight="1" x14ac:dyDescent="0.3">
      <c r="A190" s="10"/>
      <c r="B190" s="10"/>
      <c r="C190" s="10"/>
      <c r="D190" s="10"/>
      <c r="E190" s="10"/>
      <c r="F190" s="10"/>
      <c r="G190" s="10"/>
      <c r="H190" s="10"/>
      <c r="I190" s="10"/>
    </row>
    <row r="191" spans="1:9" ht="14.25" customHeight="1" x14ac:dyDescent="0.3">
      <c r="A191" s="10"/>
      <c r="B191" s="10"/>
      <c r="C191" s="10"/>
      <c r="D191" s="10"/>
      <c r="E191" s="10"/>
      <c r="F191" s="10"/>
      <c r="G191" s="10"/>
      <c r="H191" s="10"/>
      <c r="I191" s="10"/>
    </row>
    <row r="192" spans="1:9" ht="14.25" customHeight="1" x14ac:dyDescent="0.3">
      <c r="A192" s="10"/>
      <c r="B192" s="10"/>
      <c r="C192" s="10"/>
      <c r="D192" s="10"/>
      <c r="E192" s="10"/>
      <c r="F192" s="10"/>
      <c r="G192" s="10"/>
      <c r="H192" s="10"/>
      <c r="I192" s="10"/>
    </row>
    <row r="193" spans="1:9" ht="14.25" customHeight="1" x14ac:dyDescent="0.3">
      <c r="A193" s="10"/>
      <c r="B193" s="10"/>
      <c r="C193" s="10"/>
      <c r="D193" s="10"/>
      <c r="E193" s="10"/>
      <c r="F193" s="10"/>
      <c r="G193" s="10"/>
      <c r="H193" s="10"/>
      <c r="I193" s="10"/>
    </row>
    <row r="194" spans="1:9" ht="14.25" customHeight="1" x14ac:dyDescent="0.3">
      <c r="A194" s="10"/>
      <c r="B194" s="10"/>
      <c r="C194" s="10"/>
      <c r="D194" s="10"/>
      <c r="E194" s="10"/>
      <c r="F194" s="10"/>
      <c r="G194" s="10"/>
      <c r="H194" s="10"/>
      <c r="I194" s="10"/>
    </row>
    <row r="195" spans="1:9" ht="14.25" customHeight="1" x14ac:dyDescent="0.3">
      <c r="A195" s="10"/>
      <c r="B195" s="10"/>
      <c r="C195" s="10"/>
      <c r="D195" s="10"/>
      <c r="E195" s="10"/>
      <c r="F195" s="10"/>
      <c r="G195" s="10"/>
      <c r="H195" s="10"/>
      <c r="I195" s="10"/>
    </row>
    <row r="196" spans="1:9" ht="14.25" customHeight="1" x14ac:dyDescent="0.3">
      <c r="A196" s="10"/>
      <c r="B196" s="10"/>
      <c r="C196" s="10"/>
      <c r="D196" s="10"/>
      <c r="E196" s="10"/>
      <c r="F196" s="10"/>
      <c r="G196" s="10"/>
      <c r="H196" s="10"/>
      <c r="I196" s="10"/>
    </row>
    <row r="197" spans="1:9" ht="14.25" customHeight="1" x14ac:dyDescent="0.3">
      <c r="A197" s="10"/>
      <c r="B197" s="10"/>
      <c r="C197" s="10"/>
      <c r="D197" s="10"/>
      <c r="E197" s="10"/>
      <c r="F197" s="10"/>
      <c r="G197" s="10"/>
      <c r="H197" s="10"/>
      <c r="I197" s="10"/>
    </row>
    <row r="198" spans="1:9" ht="14.25" customHeight="1" x14ac:dyDescent="0.3">
      <c r="A198" s="10"/>
      <c r="B198" s="10"/>
      <c r="C198" s="10"/>
      <c r="D198" s="10"/>
      <c r="E198" s="10"/>
      <c r="F198" s="10"/>
      <c r="G198" s="10"/>
      <c r="H198" s="10"/>
      <c r="I198" s="10"/>
    </row>
    <row r="199" spans="1:9" ht="14.25" customHeight="1" x14ac:dyDescent="0.3">
      <c r="A199" s="10"/>
      <c r="B199" s="10"/>
      <c r="C199" s="10"/>
      <c r="D199" s="10"/>
      <c r="E199" s="10"/>
      <c r="F199" s="10"/>
      <c r="G199" s="10"/>
      <c r="H199" s="10"/>
      <c r="I199" s="10"/>
    </row>
    <row r="200" spans="1:9" ht="14.25" customHeight="1" x14ac:dyDescent="0.3">
      <c r="A200" s="10"/>
      <c r="B200" s="10"/>
      <c r="C200" s="10"/>
      <c r="D200" s="10"/>
      <c r="E200" s="10"/>
      <c r="F200" s="10"/>
      <c r="G200" s="10"/>
      <c r="H200" s="10"/>
      <c r="I200" s="10"/>
    </row>
    <row r="201" spans="1:9" ht="14.25" customHeight="1" x14ac:dyDescent="0.3">
      <c r="A201" s="10"/>
      <c r="B201" s="10"/>
      <c r="C201" s="10"/>
      <c r="D201" s="10"/>
      <c r="E201" s="10"/>
      <c r="F201" s="10"/>
      <c r="G201" s="10"/>
      <c r="H201" s="10"/>
      <c r="I201" s="10"/>
    </row>
    <row r="202" spans="1:9" ht="14.25" customHeight="1" x14ac:dyDescent="0.3">
      <c r="A202" s="10"/>
      <c r="B202" s="10"/>
      <c r="C202" s="10"/>
      <c r="D202" s="10"/>
      <c r="E202" s="10"/>
      <c r="F202" s="10"/>
      <c r="G202" s="10"/>
      <c r="H202" s="10"/>
      <c r="I202" s="10"/>
    </row>
    <row r="203" spans="1:9" ht="14.25" customHeight="1" x14ac:dyDescent="0.3">
      <c r="A203" s="10"/>
      <c r="B203" s="10"/>
      <c r="C203" s="10"/>
      <c r="D203" s="10"/>
      <c r="E203" s="10"/>
      <c r="F203" s="10"/>
      <c r="G203" s="10"/>
      <c r="H203" s="10"/>
      <c r="I203" s="10"/>
    </row>
    <row r="204" spans="1:9" ht="14.25" customHeight="1" x14ac:dyDescent="0.3">
      <c r="A204" s="10"/>
      <c r="B204" s="10"/>
      <c r="C204" s="10"/>
      <c r="D204" s="10"/>
      <c r="E204" s="10"/>
      <c r="F204" s="10"/>
      <c r="G204" s="10"/>
      <c r="H204" s="10"/>
      <c r="I204" s="10"/>
    </row>
    <row r="205" spans="1:9" ht="14.25" customHeight="1" x14ac:dyDescent="0.3">
      <c r="A205" s="10"/>
      <c r="B205" s="10"/>
      <c r="C205" s="10"/>
      <c r="D205" s="10"/>
      <c r="E205" s="10"/>
      <c r="F205" s="10"/>
      <c r="G205" s="10"/>
      <c r="H205" s="10"/>
      <c r="I205" s="10"/>
    </row>
    <row r="206" spans="1:9" ht="14.25" customHeight="1" x14ac:dyDescent="0.3">
      <c r="A206" s="10"/>
      <c r="B206" s="10"/>
      <c r="C206" s="10"/>
      <c r="D206" s="10"/>
      <c r="E206" s="10"/>
      <c r="F206" s="10"/>
      <c r="G206" s="10"/>
      <c r="H206" s="10"/>
      <c r="I206" s="10"/>
    </row>
    <row r="207" spans="1:9" ht="14.25" customHeight="1" x14ac:dyDescent="0.3">
      <c r="A207" s="10"/>
      <c r="B207" s="10"/>
      <c r="C207" s="10"/>
      <c r="D207" s="10"/>
      <c r="E207" s="10"/>
      <c r="F207" s="10"/>
      <c r="G207" s="10"/>
      <c r="H207" s="10"/>
      <c r="I207" s="10"/>
    </row>
    <row r="208" spans="1:9" ht="14.25" customHeight="1" x14ac:dyDescent="0.3">
      <c r="A208" s="10"/>
      <c r="B208" s="10"/>
      <c r="C208" s="10"/>
      <c r="D208" s="10"/>
      <c r="E208" s="10"/>
      <c r="F208" s="10"/>
      <c r="G208" s="10"/>
      <c r="H208" s="10"/>
      <c r="I208" s="10"/>
    </row>
    <row r="209" spans="1:9" ht="14.25" customHeight="1" x14ac:dyDescent="0.3">
      <c r="A209" s="10"/>
      <c r="B209" s="10"/>
      <c r="C209" s="10"/>
      <c r="D209" s="10"/>
      <c r="E209" s="10"/>
      <c r="F209" s="10"/>
      <c r="G209" s="10"/>
      <c r="H209" s="10"/>
      <c r="I209" s="10"/>
    </row>
    <row r="210" spans="1:9" ht="14.25" customHeight="1" x14ac:dyDescent="0.3">
      <c r="A210" s="10"/>
      <c r="B210" s="10"/>
      <c r="C210" s="10"/>
      <c r="D210" s="10"/>
      <c r="E210" s="10"/>
      <c r="F210" s="10"/>
      <c r="G210" s="10"/>
      <c r="H210" s="10"/>
      <c r="I210" s="10"/>
    </row>
    <row r="211" spans="1:9" ht="14.25" customHeight="1" x14ac:dyDescent="0.3">
      <c r="A211" s="10"/>
      <c r="B211" s="10"/>
      <c r="C211" s="10"/>
      <c r="D211" s="10"/>
      <c r="E211" s="10"/>
      <c r="F211" s="10"/>
      <c r="G211" s="10"/>
      <c r="H211" s="10"/>
      <c r="I211" s="10"/>
    </row>
    <row r="212" spans="1:9" ht="14.25" customHeight="1" x14ac:dyDescent="0.3">
      <c r="A212" s="10"/>
      <c r="B212" s="10"/>
      <c r="C212" s="10"/>
      <c r="D212" s="10"/>
      <c r="E212" s="10"/>
      <c r="F212" s="10"/>
      <c r="G212" s="10"/>
      <c r="H212" s="10"/>
      <c r="I212" s="10"/>
    </row>
    <row r="213" spans="1:9" ht="14.25" customHeight="1" x14ac:dyDescent="0.3">
      <c r="A213" s="10"/>
      <c r="B213" s="10"/>
      <c r="C213" s="10"/>
      <c r="D213" s="10"/>
      <c r="E213" s="10"/>
      <c r="F213" s="10"/>
      <c r="G213" s="10"/>
      <c r="H213" s="10"/>
      <c r="I213" s="10"/>
    </row>
    <row r="214" spans="1:9" ht="14.25" customHeight="1" x14ac:dyDescent="0.3">
      <c r="A214" s="10"/>
      <c r="B214" s="10"/>
      <c r="C214" s="10"/>
      <c r="D214" s="10"/>
      <c r="E214" s="10"/>
      <c r="F214" s="10"/>
      <c r="G214" s="10"/>
      <c r="H214" s="10"/>
      <c r="I214" s="10"/>
    </row>
    <row r="215" spans="1:9" ht="14.25" customHeight="1" x14ac:dyDescent="0.3">
      <c r="A215" s="10"/>
      <c r="B215" s="10"/>
      <c r="C215" s="10"/>
      <c r="D215" s="10"/>
      <c r="E215" s="10"/>
      <c r="F215" s="10"/>
      <c r="G215" s="10"/>
      <c r="H215" s="10"/>
      <c r="I215" s="10"/>
    </row>
    <row r="216" spans="1:9" ht="14.25" customHeight="1" x14ac:dyDescent="0.3">
      <c r="A216" s="10"/>
      <c r="B216" s="10"/>
      <c r="C216" s="10"/>
      <c r="D216" s="10"/>
      <c r="E216" s="10"/>
      <c r="F216" s="10"/>
      <c r="G216" s="10"/>
      <c r="H216" s="10"/>
      <c r="I216" s="10"/>
    </row>
    <row r="217" spans="1:9" ht="14.25" customHeight="1" x14ac:dyDescent="0.3">
      <c r="A217" s="10"/>
      <c r="B217" s="10"/>
      <c r="C217" s="10"/>
      <c r="D217" s="10"/>
      <c r="E217" s="10"/>
      <c r="F217" s="10"/>
      <c r="G217" s="10"/>
      <c r="H217" s="10"/>
      <c r="I217" s="10"/>
    </row>
    <row r="218" spans="1:9" ht="14.25" customHeight="1" x14ac:dyDescent="0.3">
      <c r="A218" s="10"/>
      <c r="B218" s="10"/>
      <c r="C218" s="10"/>
      <c r="D218" s="10"/>
      <c r="E218" s="10"/>
      <c r="F218" s="10"/>
      <c r="G218" s="10"/>
      <c r="H218" s="10"/>
      <c r="I218" s="10"/>
    </row>
    <row r="219" spans="1:9" ht="14.25" customHeight="1" x14ac:dyDescent="0.3">
      <c r="A219" s="10"/>
      <c r="B219" s="10"/>
      <c r="C219" s="10"/>
      <c r="D219" s="10"/>
      <c r="E219" s="10"/>
      <c r="F219" s="10"/>
      <c r="G219" s="10"/>
      <c r="H219" s="10"/>
      <c r="I219" s="10"/>
    </row>
    <row r="220" spans="1:9" ht="14.25" customHeight="1" x14ac:dyDescent="0.3">
      <c r="A220" s="10"/>
      <c r="B220" s="10"/>
      <c r="C220" s="10"/>
      <c r="D220" s="10"/>
      <c r="E220" s="10"/>
      <c r="F220" s="10"/>
      <c r="G220" s="10"/>
      <c r="H220" s="10"/>
      <c r="I220" s="10"/>
    </row>
    <row r="221" spans="1:9" ht="13.5" customHeight="1" x14ac:dyDescent="0.25"/>
    <row r="222" spans="1:9" ht="13.5" customHeight="1" x14ac:dyDescent="0.25"/>
    <row r="223" spans="1:9" ht="13.5" customHeight="1" x14ac:dyDescent="0.25"/>
    <row r="224" spans="1:9"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Protokol &amp; Klasifikasi</vt:lpstr>
      <vt:lpstr>Dataset Actual Bersih</vt:lpstr>
      <vt:lpstr>Hasil Skenario Sistem</vt:lpstr>
      <vt:lpstr>Excluded Log Anomali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Hype</cp:lastModifiedBy>
  <cp:revision>0</cp:revision>
  <dcterms:created xsi:type="dcterms:W3CDTF">2026-07-15T13:19:08Z</dcterms:created>
  <dcterms:modified xsi:type="dcterms:W3CDTF">2026-07-15T13:56:43Z</dcterms:modified>
  <dc:language>en-US</dc:language>
</cp:coreProperties>
</file>