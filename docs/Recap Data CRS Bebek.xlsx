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X2">
      <text>
        <t xml:space="preserve">(the date is the first day on estimated week) </t>
      </text>
    </comment>
  </commentList>
</comments>
</file>

<file path=xl/sharedStrings.xml><?xml version="1.0" encoding="utf-8"?>
<sst xmlns="http://schemas.openxmlformats.org/spreadsheetml/2006/main" count="897" uniqueCount="339">
  <si>
    <t>Base data</t>
  </si>
  <si>
    <t>Location</t>
  </si>
  <si>
    <t>ECONOMICS STUDY</t>
  </si>
  <si>
    <t>Rice Yield</t>
  </si>
  <si>
    <t>Livestock</t>
  </si>
  <si>
    <r>
      <rPr>
        <rFont val="Raleway"/>
        <b/>
        <color theme="1"/>
        <sz val="13.0"/>
      </rPr>
      <t xml:space="preserve">Intercropping
</t>
    </r>
    <r>
      <rPr>
        <rFont val="Raleway"/>
        <b/>
        <color theme="1"/>
        <sz val="9.0"/>
      </rPr>
      <t>*Special for Data Collection 1 (Jan-Oct 2025)</t>
    </r>
  </si>
  <si>
    <t>Labor costs</t>
  </si>
  <si>
    <t>Rice varieties</t>
  </si>
  <si>
    <t>Organic ammendment</t>
  </si>
  <si>
    <t xml:space="preserve"> Chemical Fertilizers</t>
  </si>
  <si>
    <t>Pesticides</t>
  </si>
  <si>
    <t>Herbicide</t>
  </si>
  <si>
    <t>Another living component</t>
  </si>
  <si>
    <t>GHG emission</t>
  </si>
  <si>
    <t>Waste management</t>
  </si>
  <si>
    <t>Water Condition</t>
  </si>
  <si>
    <t>Complexity Level</t>
  </si>
  <si>
    <t>Weather Level</t>
  </si>
  <si>
    <t>Farmer name</t>
  </si>
  <si>
    <t>Age</t>
  </si>
  <si>
    <t>Total field (Are)</t>
  </si>
  <si>
    <t>Rice field (Are)</t>
  </si>
  <si>
    <t>Group nº</t>
  </si>
  <si>
    <t>Farmer cycle nº</t>
  </si>
  <si>
    <t>AW program</t>
  </si>
  <si>
    <t>Rice field in program (Are)</t>
  </si>
  <si>
    <t>% rice field = CRS</t>
  </si>
  <si>
    <t>Cycle END date</t>
  </si>
  <si>
    <t>Subak</t>
  </si>
  <si>
    <t>Munduk</t>
  </si>
  <si>
    <t>Total operating costs</t>
  </si>
  <si>
    <t>Operating cost per are</t>
  </si>
  <si>
    <t>Total investments</t>
  </si>
  <si>
    <t>Investment per are</t>
  </si>
  <si>
    <t>Total revenue</t>
  </si>
  <si>
    <t>Revenue per are</t>
  </si>
  <si>
    <t>Total operating profit</t>
  </si>
  <si>
    <t>Operating profit per are</t>
  </si>
  <si>
    <t>Total profit</t>
  </si>
  <si>
    <t>Profit per are</t>
  </si>
  <si>
    <t>Estimated gabah yield (kg)</t>
  </si>
  <si>
    <t>Pre-paid amount</t>
  </si>
  <si>
    <t>Date pre-paid</t>
  </si>
  <si>
    <t>Expected harvest date</t>
  </si>
  <si>
    <t>Actual gabah yield (kg)</t>
  </si>
  <si>
    <t>Surplus/loss gabah yield</t>
  </si>
  <si>
    <t>Pre-paid amount Loss</t>
  </si>
  <si>
    <t>Pre-paid amount Loss/are</t>
  </si>
  <si>
    <t>Actual gabah yield (kg/are)</t>
  </si>
  <si>
    <t>Price per kg of gabah sold</t>
  </si>
  <si>
    <t>Total Gabah surplus (Rp)</t>
  </si>
  <si>
    <t>Date Harvested</t>
  </si>
  <si>
    <t>Notes</t>
  </si>
  <si>
    <t>Total gabah revenue</t>
  </si>
  <si>
    <t>Total gabah revenue per are</t>
  </si>
  <si>
    <t>Livestock 1</t>
  </si>
  <si>
    <t>Nb of livestock 1</t>
  </si>
  <si>
    <t>Ducks per are</t>
  </si>
  <si>
    <t>Buy price per livestock 1</t>
  </si>
  <si>
    <t>Livestock 1 sold</t>
  </si>
  <si>
    <t>Selling price per livestock 1</t>
  </si>
  <si>
    <t>Livestock 1 feed cost</t>
  </si>
  <si>
    <t>Side product Livestock 1 sold (egg)</t>
  </si>
  <si>
    <t>Livestock 2</t>
  </si>
  <si>
    <t>Nb of livestock 2</t>
  </si>
  <si>
    <t>Buy price per livestock 2</t>
  </si>
  <si>
    <t>Livestock 2 sold</t>
  </si>
  <si>
    <t>Selling price per livestock 2</t>
  </si>
  <si>
    <t>Livestock 2 feed cost</t>
  </si>
  <si>
    <t>Side product Livestock 2 sold (egg)</t>
  </si>
  <si>
    <t>Note</t>
  </si>
  <si>
    <t>Total livestock costs</t>
  </si>
  <si>
    <t>Livestock cost per are</t>
  </si>
  <si>
    <t>Total livestock revenue</t>
  </si>
  <si>
    <t>Livestock revenue per are</t>
  </si>
  <si>
    <t>Livestock investment 1</t>
  </si>
  <si>
    <t>Livestock investment 1 unit</t>
  </si>
  <si>
    <t>Livestock investment 1 cost</t>
  </si>
  <si>
    <t>Livestock investment 2</t>
  </si>
  <si>
    <t>Livestock investment 2 unit</t>
  </si>
  <si>
    <t>Livestock investment 2 cost</t>
  </si>
  <si>
    <t>Livestock investment 3</t>
  </si>
  <si>
    <t>Livestock investment 3 unit</t>
  </si>
  <si>
    <t>Livestock investment 3 cost</t>
  </si>
  <si>
    <t>Livestock investment 4</t>
  </si>
  <si>
    <t>Livestock investment 4 unit</t>
  </si>
  <si>
    <t>Livestock investment 4 cost</t>
  </si>
  <si>
    <t>Total livestock investment</t>
  </si>
  <si>
    <t>Plant 1</t>
  </si>
  <si>
    <t>Buy price plant 1</t>
  </si>
  <si>
    <t>Plant 1 sold</t>
  </si>
  <si>
    <t>Plant 2</t>
  </si>
  <si>
    <t>Buy price plant 2</t>
  </si>
  <si>
    <t>Plant 2 sold</t>
  </si>
  <si>
    <t>Total intercropping costs</t>
  </si>
  <si>
    <t>Total intercropping revenue</t>
  </si>
  <si>
    <t>Ploughing</t>
  </si>
  <si>
    <t>Ploughing per are</t>
  </si>
  <si>
    <t>Seeds/ seedlings</t>
  </si>
  <si>
    <t>Seedlings per are</t>
  </si>
  <si>
    <t>Planting</t>
  </si>
  <si>
    <t>Planting per are</t>
  </si>
  <si>
    <t>Fuel for cutting grass</t>
  </si>
  <si>
    <t>Weeding</t>
  </si>
  <si>
    <t>Weeding per are</t>
  </si>
  <si>
    <t>Spraying pesticide</t>
  </si>
  <si>
    <t>Spraying herbicide</t>
  </si>
  <si>
    <t xml:space="preserve">Fertilizer application </t>
  </si>
  <si>
    <t>Irrigation</t>
  </si>
  <si>
    <t>Dores cost per KG of gabah</t>
  </si>
  <si>
    <t>Harvesting from field (dores)</t>
  </si>
  <si>
    <t>Post harvest per are</t>
  </si>
  <si>
    <t>Total labor cost</t>
  </si>
  <si>
    <t>Planting Pattern</t>
  </si>
  <si>
    <t>Variety 1</t>
  </si>
  <si>
    <t>Days in nursery</t>
  </si>
  <si>
    <t>Date planted</t>
  </si>
  <si>
    <t>Estimated month planted</t>
  </si>
  <si>
    <t>Estimated month harvested</t>
  </si>
  <si>
    <t>Duration (days)</t>
  </si>
  <si>
    <t>Date harvested</t>
  </si>
  <si>
    <t>Month harvested</t>
  </si>
  <si>
    <t>Variety 2</t>
  </si>
  <si>
    <t>Days in Nursery</t>
  </si>
  <si>
    <t>Type of organic matter 1</t>
  </si>
  <si>
    <t>Amount (kg)</t>
  </si>
  <si>
    <t>Amount per are</t>
  </si>
  <si>
    <t>Cost per kg</t>
  </si>
  <si>
    <t>Type of organic matter 2</t>
  </si>
  <si>
    <t>Type of organic matter 3</t>
  </si>
  <si>
    <t>Total Amount per are</t>
  </si>
  <si>
    <t>Aplication intensity  (veg)</t>
  </si>
  <si>
    <t>Aplication intensity  (gen)</t>
  </si>
  <si>
    <t>Total organic matter cost</t>
  </si>
  <si>
    <t>Organic matter cost per are</t>
  </si>
  <si>
    <t>Type 1</t>
  </si>
  <si>
    <t>Amount
(kg) 0r (ml)</t>
  </si>
  <si>
    <t>amount kg/are</t>
  </si>
  <si>
    <t>Price (Rp)</t>
  </si>
  <si>
    <t>Type 2</t>
  </si>
  <si>
    <t>Amount 
(kg) 0r (ml)</t>
  </si>
  <si>
    <t>Type 3
(kg) 0r (ml)</t>
  </si>
  <si>
    <t>Amount</t>
  </si>
  <si>
    <t>Price</t>
  </si>
  <si>
    <t>Type 4</t>
  </si>
  <si>
    <t>Total chemical fertilizer cost</t>
  </si>
  <si>
    <t>Chemical fertilizer cost per are</t>
  </si>
  <si>
    <t>Name 1</t>
  </si>
  <si>
    <t>Amount (times)</t>
  </si>
  <si>
    <t>Dose (ml)</t>
  </si>
  <si>
    <t>Spraying intensity  (veg)</t>
  </si>
  <si>
    <t>Spraying intensity  (gen)</t>
  </si>
  <si>
    <t>Name 2</t>
  </si>
  <si>
    <t>Amount
(times)</t>
  </si>
  <si>
    <t>Name 3</t>
  </si>
  <si>
    <t>Dose (ml/ml)</t>
  </si>
  <si>
    <t>Name 4</t>
  </si>
  <si>
    <t>Name 5</t>
  </si>
  <si>
    <t>Dose per tank (ml/ml)</t>
  </si>
  <si>
    <t>Total pesticide cost</t>
  </si>
  <si>
    <t>Pesticide cost per are</t>
  </si>
  <si>
    <t>Total herbicide cost</t>
  </si>
  <si>
    <t>Herbicide cost per are</t>
  </si>
  <si>
    <t>Added plant 1 (eg. Azola)</t>
  </si>
  <si>
    <t>Added plant 2 (eg. Sunhemp)</t>
  </si>
  <si>
    <t>Added plant 3</t>
  </si>
  <si>
    <t>Added plant 4</t>
  </si>
  <si>
    <t>Water filter (Andungan)</t>
  </si>
  <si>
    <t>Water filter (Eceng Gondok/Hyacin)</t>
  </si>
  <si>
    <t>Before planting</t>
  </si>
  <si>
    <t>During planting</t>
  </si>
  <si>
    <t>Length of straw remaining on the field (cm)</t>
  </si>
  <si>
    <t>Straw treatment (burnt/ sale/ feed/ compost)</t>
  </si>
  <si>
    <t>Water access</t>
  </si>
  <si>
    <t>Subak Uma Lambing Munduk Lambing Batch 1 (cyle 1)</t>
  </si>
  <si>
    <t>I Wayan Suarta</t>
  </si>
  <si>
    <t>Regen. Rice</t>
  </si>
  <si>
    <t>Uma Lambing</t>
  </si>
  <si>
    <t>Lambing</t>
  </si>
  <si>
    <t>Ducks</t>
  </si>
  <si>
    <t>Rope</t>
  </si>
  <si>
    <t>Net</t>
  </si>
  <si>
    <t>Making net</t>
  </si>
  <si>
    <t>Bamboo</t>
  </si>
  <si>
    <t>Sertani 13</t>
  </si>
  <si>
    <t>Chicken manure</t>
  </si>
  <si>
    <t>I Made Widana</t>
  </si>
  <si>
    <t>Cow manure</t>
  </si>
  <si>
    <t>Albio</t>
  </si>
  <si>
    <t>I Wayan Suwendhi Artha</t>
  </si>
  <si>
    <t>Duck net</t>
  </si>
  <si>
    <t>Organic compost (cow manure)</t>
  </si>
  <si>
    <t>I Ketut Tantra</t>
  </si>
  <si>
    <t>I Made Arsania</t>
  </si>
  <si>
    <t>Azola</t>
  </si>
  <si>
    <t>I Nyoman Ranes</t>
  </si>
  <si>
    <t>Fish</t>
  </si>
  <si>
    <t>Liquid fertlizer</t>
  </si>
  <si>
    <t>made from greens and cow manure from his live stock. He use 2 x  5 kg paint bucket</t>
  </si>
  <si>
    <t>I Wayan Wiratna</t>
  </si>
  <si>
    <t>Duck manure</t>
  </si>
  <si>
    <t>from his own livestock manure</t>
  </si>
  <si>
    <t>I Ketut Alit Sudarsana</t>
  </si>
  <si>
    <t>Cow pee</t>
  </si>
  <si>
    <t xml:space="preserve">Cow secretion  from his own live stock ; 32 L of Cow pee </t>
  </si>
  <si>
    <t>I Gusti Ngurah Rai Sukarta</t>
  </si>
  <si>
    <t>Eco enzim</t>
  </si>
  <si>
    <t>150 ml of Ecoenzim</t>
  </si>
  <si>
    <t>Sunhemp</t>
  </si>
  <si>
    <t>Subak Uma Lambing Munduk Bias Batch 1 (cyle 1)</t>
  </si>
  <si>
    <t>I Wayan Sadia</t>
  </si>
  <si>
    <t>Bias</t>
  </si>
  <si>
    <t>use 3 kg seeds, not buy seeds</t>
  </si>
  <si>
    <t>Sertani</t>
  </si>
  <si>
    <t xml:space="preserve">Compost </t>
  </si>
  <si>
    <t>Liquid fertilizer</t>
  </si>
  <si>
    <t>He made liquid fertilizer from leftover fruit, only buy 1 kg sugar</t>
  </si>
  <si>
    <t>Natural pesticide</t>
  </si>
  <si>
    <t>He made natural pesticide from soursop leaf, papaya leaf, tobbaco, onion, and garlic only buy the herbs 20000</t>
  </si>
  <si>
    <t>Kacang Tunggak</t>
  </si>
  <si>
    <t>compost and let to decay</t>
  </si>
  <si>
    <t>Subak Uma Lambing Munduk Lambing Batch 2 (cycle 1)</t>
  </si>
  <si>
    <t>I Gusti Ngurah Wirasuta</t>
  </si>
  <si>
    <t>Used Impari rice, and get pest out break explains lower yield. Service harvest paid by AW 1000/kg Gabah. Use duck (borrow ducks)</t>
  </si>
  <si>
    <t>use 4  kg seeds</t>
  </si>
  <si>
    <t>Jarwo 2:1</t>
  </si>
  <si>
    <t>Inpari 32</t>
  </si>
  <si>
    <t>Compost</t>
  </si>
  <si>
    <t>Kacang Panjang</t>
  </si>
  <si>
    <t>Pacah cultivation before</t>
  </si>
  <si>
    <t>Subak Uma Lambing Munduk Lambing Batch 1 (cyle 2)</t>
  </si>
  <si>
    <t xml:space="preserve">jaring </t>
  </si>
  <si>
    <t>use 5 kg seeds</t>
  </si>
  <si>
    <t>Use compost from chicken manure</t>
  </si>
  <si>
    <t>He used natural pesticide from tobacco, garlic and onion skin, spend 6 liter  (4 sprayer )</t>
  </si>
  <si>
    <t xml:space="preserve">Natural pesticie </t>
  </si>
  <si>
    <t>He used papaya leaf with garlic, spend 2,2 l/time application, total 7 times application</t>
  </si>
  <si>
    <t>use 2 kg seeds, not buy seeds</t>
  </si>
  <si>
    <t xml:space="preserve">Jerami Compost </t>
  </si>
  <si>
    <t>Only use Jerami compost and duck manure come from ducks that stays there during fallow period</t>
  </si>
  <si>
    <t>use 2 kg seeds</t>
  </si>
  <si>
    <t>Inpari</t>
  </si>
  <si>
    <t>He used papaya leaf with garlic, 1 times application spend 3 liters natural pesticide with water added</t>
  </si>
  <si>
    <t>use 1,5 kg seeds, not buy seeds</t>
  </si>
  <si>
    <t xml:space="preserve">Inpari </t>
  </si>
  <si>
    <t xml:space="preserve">use 1 kg seeds
</t>
  </si>
  <si>
    <t>She used natural pesticide from AW: soursop leaf, papaya leaf, tobbaco, garlic, galangal, and kapur 1 time application.</t>
  </si>
  <si>
    <t>I Ketut Alit Sudarsana bring 29 kg home for seeds</t>
  </si>
  <si>
    <t xml:space="preserve">use 5 kg seeds, not buy seeds 
</t>
  </si>
  <si>
    <t>He used fermented cow pee with molase, em4, gamal leaf and onion/garlic skin , he spent 16 liters of the fermentation</t>
  </si>
  <si>
    <t>use 5  kg seeds</t>
  </si>
  <si>
    <t>Only use Jerami compost</t>
  </si>
  <si>
    <t>Subak Uma Lambing Munduk Bias Batch 2 (cycle 1)</t>
  </si>
  <si>
    <t>I Gusti Nyoman Ngurah Wirasuta</t>
  </si>
  <si>
    <t>Duck</t>
  </si>
  <si>
    <t>He only had 7 ducks left (not sell yet)</t>
  </si>
  <si>
    <t>use 3  kg seeds</t>
  </si>
  <si>
    <t>Use Cow Manure compost</t>
  </si>
  <si>
    <t>He used 440 ml of natural pesticide that he made from papaya leaf, tobacco, garlic</t>
  </si>
  <si>
    <t>Not plant the border plant yet</t>
  </si>
  <si>
    <t>let to decay</t>
  </si>
  <si>
    <t>Ni Nyoman Suwerti</t>
  </si>
  <si>
    <t>not sell the duck, prefer to selll egg</t>
  </si>
  <si>
    <t>use 2  kg seeds</t>
  </si>
  <si>
    <t>She used 1.2 liter of natural pesticide
She got Pucuk Putih attack on the early stage after planting</t>
  </si>
  <si>
    <t>it before from pacah plant area</t>
  </si>
  <si>
    <t>Subak Saradan  Munduk Sepit Kajanan Batch 1 (cycle 1)</t>
  </si>
  <si>
    <t>I Ketut Mertiyasa</t>
  </si>
  <si>
    <t>Saradan</t>
  </si>
  <si>
    <t>Sepit Dajanan</t>
  </si>
  <si>
    <t>10 duck added on 1.7 are land, but only 7 left</t>
  </si>
  <si>
    <t>use 2.5 kg seeds</t>
  </si>
  <si>
    <t>Beras merah</t>
  </si>
  <si>
    <t>Urea</t>
  </si>
  <si>
    <t>He got attack by Hama Beluk on vegetative phase and Walang Sangit pest when generative phase start
Natural pesticide made from fermented soursop leaf, papaya leaf, garlic, Lengkuas, aloevera, tobacco.  Three times application, in total  spent 4 litres natural pesticide</t>
  </si>
  <si>
    <t>Subak Uma Lambing Munduk Lambing Batch 3 (cycle 1)</t>
  </si>
  <si>
    <t>64 GH</t>
  </si>
  <si>
    <t>Ecoenzym</t>
  </si>
  <si>
    <t>He use ecoenzym 900 ml</t>
  </si>
  <si>
    <t>He use natural pesticide from papaya leaf and tobacco, he spent 900 ml pesticides</t>
  </si>
  <si>
    <t>Subak Uma Lambing Munduk Lambing Batch 1 (cycle 3)</t>
  </si>
  <si>
    <t>Tegel</t>
  </si>
  <si>
    <t>Chicken Manuree</t>
  </si>
  <si>
    <t>Sertani a 13</t>
  </si>
  <si>
    <t>Liquid fertilizer + natural pesticide</t>
  </si>
  <si>
    <t>He use liquid fertilizer that also function as natural pesticide, he spent 100 liters on fifth times application. Special for the 5th application he add tobacco</t>
  </si>
  <si>
    <t>Natural pesticide 1</t>
  </si>
  <si>
    <t>He use liquid fertilizer that also function as natural pesticide, he spent 40 liters on fifth times application. Special for the 5th application he add tobacco</t>
  </si>
  <si>
    <t>He use ecoenzym 600 ml</t>
  </si>
  <si>
    <t>He use natural pesticide from papaya leaf and tobacco, he spent 600 ml pesticides</t>
  </si>
  <si>
    <t>Subak Uma Lambing Munduk Bias Batch 2 (cycle 2)</t>
  </si>
  <si>
    <t>Nov.</t>
  </si>
  <si>
    <t>SUL Munduk Lambing Batch 1 (cycle 4)</t>
  </si>
  <si>
    <t>Jan.</t>
  </si>
  <si>
    <t>Andungan</t>
  </si>
  <si>
    <t>Hyacin/Eceng Gondok</t>
  </si>
  <si>
    <t>water needs are met</t>
  </si>
  <si>
    <t>use duck from previous cycle</t>
  </si>
  <si>
    <t>Subak Pedahanan, Munduk Babakan (cycle 2)</t>
  </si>
  <si>
    <t>I Wayan Jana (Data collection, level 8)</t>
  </si>
  <si>
    <t>Pedahanan</t>
  </si>
  <si>
    <t>Babakan</t>
  </si>
  <si>
    <t>Duck cage</t>
  </si>
  <si>
    <t xml:space="preserve">- Tambahan jual Gonda 30000
* Panen Gonda dan Kacang Tunggak untuk dapur &gt; 15 kali masing-masing -&gt; nilai 5000/panen </t>
  </si>
  <si>
    <t>Liquid fertilizer 2</t>
  </si>
  <si>
    <t>Liquid fertilizer 2 = AW recipe + Menir + Ikan Basi + Telur busuk</t>
  </si>
  <si>
    <t>KCL</t>
  </si>
  <si>
    <t>Medium</t>
  </si>
  <si>
    <t>I Gusti Ngurah Putu Suka Nada 
(Data collection, level 4)</t>
  </si>
  <si>
    <t>not enough</t>
  </si>
  <si>
    <t>I Gusti Ngurah Putu Suka Nada 
(Data collection, level 7)</t>
  </si>
  <si>
    <t>I Wayan Arta Susila
(Data collection, level 6)</t>
  </si>
  <si>
    <t>SUL Munduk Lambing Batch 1 (cycle 5)</t>
  </si>
  <si>
    <t>I Wayan Suwendhi Artha (Data collection, level 4)</t>
  </si>
  <si>
    <t xml:space="preserve">July </t>
  </si>
  <si>
    <t>Suppose to be without Azolla, but it came naturally</t>
  </si>
  <si>
    <t>SUL Munduk Lambing Batch 2 (cycle 4)</t>
  </si>
  <si>
    <t>I Nyoman Suwitra  (Data collection, level 6)</t>
  </si>
  <si>
    <t>Duck and livestock investment cost subcidies by AW</t>
  </si>
  <si>
    <t>PSB</t>
  </si>
  <si>
    <t>SUL Munduk Lambing Batch 3 (cycle 3)</t>
  </si>
  <si>
    <t>Alm. I Ketut Tantra (Data collection, level 7)</t>
  </si>
  <si>
    <t>July</t>
  </si>
  <si>
    <t>SUL Munduk Lambing Batch 4 (cycle 2)</t>
  </si>
  <si>
    <t>Demplot Grounded (Data collection, level 8)</t>
  </si>
  <si>
    <t>water needs are met, but struggle to find it</t>
  </si>
  <si>
    <t>Subak Ketapang, Munduk Ketapang Batch 1 (cycle 3)</t>
  </si>
  <si>
    <t>I Ketut Darmawan  (Data collection, level 4)</t>
  </si>
  <si>
    <t>Ketapang</t>
  </si>
  <si>
    <t>I Wayan Buana (Data collection, level 8)</t>
  </si>
  <si>
    <t>I Ketut Buda (Data collection, level 6)</t>
  </si>
  <si>
    <t>I Made Suardika (Data collection, level 7)</t>
  </si>
  <si>
    <t>Subak Pedahanan, Munduk Pedahanan Grup 1  Batch 1 (cycle 2)</t>
  </si>
  <si>
    <t>I Wayan Sari Merta</t>
  </si>
  <si>
    <t>He use the duck for ceremony</t>
  </si>
  <si>
    <t>Tabela (Jarwo 2:1)</t>
  </si>
  <si>
    <t>September</t>
  </si>
  <si>
    <t>Compost Z bio</t>
  </si>
  <si>
    <t xml:space="preserve">Liquid fertilizer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</si>
</sst>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 &quot;mmmm&quot; &quot;yyyy"/>
    <numFmt numFmtId="165" formatCode="#,##0.0"/>
    <numFmt numFmtId="166" formatCode="m-d"/>
    <numFmt numFmtId="167" formatCode="mmm&quot; &quot;yyyy"/>
    <numFmt numFmtId="168" formatCode="m/d/yyyy"/>
    <numFmt numFmtId="169" formatCode="d mmm yy"/>
    <numFmt numFmtId="170" formatCode="d mmmm yy"/>
    <numFmt numFmtId="171" formatCode="mmmm&quot; , &quot;yyyy"/>
    <numFmt numFmtId="172" formatCode="mmmm&quot; &quot;d&quot;, &quot;yyyy"/>
    <numFmt numFmtId="173" formatCode="d mmmm yyyy"/>
  </numFmts>
  <fonts count="14">
    <font>
      <sz val="10.0"/>
      <color rgb="FF000000"/>
      <name val="Arial"/>
      <scheme val="minor"/>
    </font>
    <font>
      <color theme="1"/>
      <name val="Arial"/>
    </font>
    <font>
      <b/>
      <sz val="13.0"/>
      <color theme="1"/>
      <name val="Raleway"/>
    </font>
    <font/>
    <font>
      <b/>
      <sz val="9.0"/>
      <color theme="1"/>
      <name val="Raleway"/>
    </font>
    <font>
      <sz val="9.0"/>
      <color theme="1"/>
      <name val="Raleway"/>
    </font>
    <font>
      <b/>
      <color theme="1"/>
      <name val="Raleway"/>
    </font>
    <font>
      <i/>
      <sz val="9.0"/>
      <color theme="1"/>
      <name val="Raleway"/>
    </font>
    <font>
      <sz val="9.0"/>
      <color theme="1"/>
      <name val="Docs-Raleway"/>
    </font>
    <font>
      <b/>
      <sz val="9.0"/>
      <color rgb="FFFF0000"/>
      <name val="Raleway"/>
    </font>
    <font>
      <b/>
      <sz val="11.0"/>
      <color theme="1"/>
      <name val="Raleway"/>
    </font>
    <font>
      <b/>
      <sz val="9.0"/>
      <color theme="1"/>
      <name val="Docs-Raleway"/>
    </font>
    <font>
      <color theme="1"/>
      <name val="Raleway"/>
    </font>
    <font>
      <sz val="9.0"/>
      <color rgb="FF1F1F1F"/>
      <name val="Raleway"/>
    </font>
  </fonts>
  <fills count="27">
    <fill>
      <patternFill patternType="none"/>
    </fill>
    <fill>
      <patternFill patternType="lightGray"/>
    </fill>
    <fill>
      <patternFill patternType="solid">
        <fgColor rgb="FFF3F3F3"/>
        <bgColor rgb="FFF3F3F3"/>
      </patternFill>
    </fill>
    <fill>
      <patternFill patternType="solid">
        <fgColor rgb="FFF7E77B"/>
        <bgColor rgb="FFF7E77B"/>
      </patternFill>
    </fill>
    <fill>
      <patternFill patternType="solid">
        <fgColor rgb="FFD9EAD3"/>
        <bgColor rgb="FFD9EAD3"/>
      </patternFill>
    </fill>
    <fill>
      <patternFill patternType="solid">
        <fgColor rgb="FFC27BA0"/>
        <bgColor rgb="FFC27BA0"/>
      </patternFill>
    </fill>
    <fill>
      <patternFill patternType="solid">
        <fgColor rgb="FFE6B8AF"/>
        <bgColor rgb="FFE6B8AF"/>
      </patternFill>
    </fill>
    <fill>
      <patternFill patternType="solid">
        <fgColor rgb="FFE6E1AF"/>
        <bgColor rgb="FFE6E1AF"/>
      </patternFill>
    </fill>
    <fill>
      <patternFill patternType="solid">
        <fgColor rgb="FFEA9999"/>
        <bgColor rgb="FFEA9999"/>
      </patternFill>
    </fill>
    <fill>
      <patternFill patternType="solid">
        <fgColor rgb="FFCAFDEC"/>
        <bgColor rgb="FFCAFDEC"/>
      </patternFill>
    </fill>
    <fill>
      <patternFill patternType="solid">
        <fgColor rgb="FFA6F3E8"/>
        <bgColor rgb="FFA6F3E8"/>
      </patternFill>
    </fill>
    <fill>
      <patternFill patternType="solid">
        <fgColor rgb="FF93C47D"/>
        <bgColor rgb="FF93C47D"/>
      </patternFill>
    </fill>
    <fill>
      <patternFill patternType="solid">
        <fgColor rgb="FFF1C232"/>
        <bgColor rgb="FFF1C232"/>
      </patternFill>
    </fill>
    <fill>
      <patternFill patternType="solid">
        <fgColor rgb="FF9FC5E8"/>
        <bgColor rgb="FF9FC5E8"/>
      </patternFill>
    </fill>
    <fill>
      <patternFill patternType="solid">
        <fgColor rgb="FFCCCCCC"/>
        <bgColor rgb="FFCCCCCC"/>
      </patternFill>
    </fill>
    <fill>
      <patternFill patternType="solid">
        <fgColor rgb="FFF0FB9B"/>
        <bgColor rgb="FFF0FB9B"/>
      </patternFill>
    </fill>
    <fill>
      <patternFill patternType="solid">
        <fgColor rgb="FFCAF3B5"/>
        <bgColor rgb="FFCAF3B5"/>
      </patternFill>
    </fill>
    <fill>
      <patternFill patternType="solid">
        <fgColor rgb="FFB85B22"/>
        <bgColor rgb="FFB85B22"/>
      </patternFill>
    </fill>
    <fill>
      <patternFill patternType="solid">
        <fgColor rgb="FFD5A6BD"/>
        <bgColor rgb="FFD5A6BD"/>
      </patternFill>
    </fill>
    <fill>
      <patternFill patternType="solid">
        <fgColor rgb="FFFFE599"/>
        <bgColor rgb="FFFFE599"/>
      </patternFill>
    </fill>
    <fill>
      <patternFill patternType="solid">
        <fgColor rgb="FFB7E1CD"/>
        <bgColor rgb="FFB7E1CD"/>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E06666"/>
        <bgColor rgb="FFE06666"/>
      </patternFill>
    </fill>
    <fill>
      <patternFill patternType="solid">
        <fgColor rgb="FFECF675"/>
        <bgColor rgb="FFECF675"/>
      </patternFill>
    </fill>
    <fill>
      <patternFill patternType="solid">
        <fgColor rgb="FFEFEFEF"/>
        <bgColor rgb="FFEFEFEF"/>
      </patternFill>
    </fill>
  </fills>
  <borders count="9">
    <border/>
    <border>
      <right style="thin">
        <color rgb="FFF3F3F3"/>
      </right>
      <bottom style="thin">
        <color rgb="FFF3F3F3"/>
      </bottom>
    </border>
    <border>
      <left style="thin">
        <color rgb="FFF3F3F3"/>
      </left>
      <bottom style="thin">
        <color rgb="FFF3F3F3"/>
      </bottom>
    </border>
    <border>
      <bottom style="thin">
        <color rgb="FFF3F3F3"/>
      </bottom>
    </border>
    <border>
      <left style="thin">
        <color rgb="FFF3F3F3"/>
      </left>
      <right style="thin">
        <color rgb="FFF3F3F3"/>
      </right>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left style="thin">
        <color rgb="FFEFEFEF"/>
      </left>
      <right style="thin">
        <color rgb="FFEFEFEF"/>
      </right>
      <top style="thin">
        <color rgb="FFEFEFEF"/>
      </top>
      <bottom style="thin">
        <color rgb="FFEFEFEF"/>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2" fontId="1" numFmtId="0" xfId="0" applyBorder="1" applyFont="1"/>
    <xf borderId="1" fillId="2" fontId="1" numFmtId="0" xfId="0" applyBorder="1" applyFont="1"/>
    <xf borderId="2" fillId="3" fontId="2" numFmtId="3" xfId="0" applyAlignment="1" applyBorder="1" applyFill="1" applyFont="1" applyNumberFormat="1">
      <alignment horizontal="center" shrinkToFit="0" wrapText="1"/>
    </xf>
    <xf borderId="1" fillId="0" fontId="3" numFmtId="0" xfId="0" applyBorder="1" applyFont="1"/>
    <xf borderId="2" fillId="4" fontId="2" numFmtId="3" xfId="0" applyAlignment="1" applyBorder="1" applyFill="1" applyFont="1" applyNumberFormat="1">
      <alignment horizontal="center"/>
    </xf>
    <xf borderId="3" fillId="0" fontId="3" numFmtId="0" xfId="0" applyBorder="1" applyFont="1"/>
    <xf borderId="4" fillId="4" fontId="1" numFmtId="3" xfId="0" applyBorder="1" applyFont="1" applyNumberFormat="1"/>
    <xf borderId="2" fillId="5" fontId="2" numFmtId="3" xfId="0" applyAlignment="1" applyBorder="1" applyFill="1" applyFont="1" applyNumberFormat="1">
      <alignment horizontal="center" shrinkToFit="0" wrapText="1"/>
    </xf>
    <xf borderId="4" fillId="5" fontId="1" numFmtId="3" xfId="0" applyBorder="1" applyFont="1" applyNumberFormat="1"/>
    <xf borderId="2" fillId="6" fontId="2" numFmtId="3" xfId="0" applyAlignment="1" applyBorder="1" applyFill="1" applyFont="1" applyNumberFormat="1">
      <alignment horizontal="center"/>
    </xf>
    <xf borderId="2" fillId="7" fontId="2" numFmtId="3" xfId="0" applyAlignment="1" applyBorder="1" applyFill="1" applyFont="1" applyNumberFormat="1">
      <alignment horizontal="center"/>
    </xf>
    <xf borderId="2" fillId="8" fontId="2" numFmtId="3" xfId="0" applyAlignment="1" applyBorder="1" applyFill="1" applyFont="1" applyNumberFormat="1">
      <alignment horizontal="center" shrinkToFit="0" wrapText="1"/>
    </xf>
    <xf borderId="4" fillId="9" fontId="1" numFmtId="3" xfId="0" applyBorder="1" applyFill="1" applyFont="1" applyNumberFormat="1"/>
    <xf borderId="2" fillId="9" fontId="2" numFmtId="3" xfId="0" applyAlignment="1" applyBorder="1" applyFont="1" applyNumberFormat="1">
      <alignment horizontal="center" shrinkToFit="0" wrapText="1"/>
    </xf>
    <xf borderId="3" fillId="9" fontId="1" numFmtId="3" xfId="0" applyBorder="1" applyFont="1" applyNumberFormat="1"/>
    <xf borderId="3" fillId="9" fontId="1" numFmtId="164" xfId="0" applyBorder="1" applyFont="1" applyNumberFormat="1"/>
    <xf borderId="1" fillId="9" fontId="1" numFmtId="3" xfId="0" applyBorder="1" applyFont="1" applyNumberFormat="1"/>
    <xf borderId="2" fillId="10" fontId="2" numFmtId="3" xfId="0" applyAlignment="1" applyBorder="1" applyFill="1" applyFont="1" applyNumberFormat="1">
      <alignment horizontal="center" shrinkToFit="0" wrapText="1"/>
    </xf>
    <xf borderId="2" fillId="11" fontId="2" numFmtId="3" xfId="0" applyAlignment="1" applyBorder="1" applyFill="1" applyFont="1" applyNumberFormat="1">
      <alignment horizontal="center" shrinkToFit="0" wrapText="1"/>
    </xf>
    <xf borderId="4" fillId="11" fontId="1" numFmtId="3" xfId="0" applyBorder="1" applyFont="1" applyNumberFormat="1"/>
    <xf borderId="2" fillId="12" fontId="2" numFmtId="3" xfId="0" applyAlignment="1" applyBorder="1" applyFill="1" applyFont="1" applyNumberFormat="1">
      <alignment horizontal="center" shrinkToFit="0" wrapText="1"/>
    </xf>
    <xf borderId="4" fillId="12" fontId="1" numFmtId="3" xfId="0" applyBorder="1" applyFont="1" applyNumberFormat="1"/>
    <xf borderId="2" fillId="13" fontId="2" numFmtId="3" xfId="0" applyAlignment="1" applyBorder="1" applyFill="1" applyFont="1" applyNumberFormat="1">
      <alignment horizontal="center" shrinkToFit="0" wrapText="1"/>
    </xf>
    <xf borderId="4" fillId="13" fontId="1" numFmtId="3" xfId="0" applyBorder="1" applyFont="1" applyNumberFormat="1"/>
    <xf borderId="2" fillId="14" fontId="2" numFmtId="3" xfId="0" applyAlignment="1" applyBorder="1" applyFill="1" applyFont="1" applyNumberFormat="1">
      <alignment horizontal="center" shrinkToFit="0" wrapText="1"/>
    </xf>
    <xf borderId="2" fillId="15" fontId="2" numFmtId="3" xfId="0" applyAlignment="1" applyBorder="1" applyFill="1" applyFont="1" applyNumberFormat="1">
      <alignment horizontal="center" shrinkToFit="0" wrapText="1"/>
    </xf>
    <xf borderId="2" fillId="16" fontId="2" numFmtId="3" xfId="0" applyAlignment="1" applyBorder="1" applyFill="1" applyFont="1" applyNumberFormat="1">
      <alignment horizontal="center" shrinkToFit="0" wrapText="1"/>
    </xf>
    <xf borderId="0" fillId="17" fontId="2" numFmtId="3" xfId="0" applyAlignment="1" applyFill="1" applyFont="1" applyNumberFormat="1">
      <alignment horizontal="center" shrinkToFit="0" wrapText="1"/>
    </xf>
    <xf borderId="0" fillId="18" fontId="2" numFmtId="3" xfId="0" applyAlignment="1" applyFill="1" applyFont="1" applyNumberFormat="1">
      <alignment horizontal="center" shrinkToFit="0" wrapText="1"/>
    </xf>
    <xf borderId="0" fillId="19" fontId="2" numFmtId="3" xfId="0" applyAlignment="1" applyFill="1" applyFont="1" applyNumberFormat="1">
      <alignment horizontal="center" shrinkToFit="0" wrapText="1"/>
    </xf>
    <xf borderId="5" fillId="2" fontId="4" numFmtId="0" xfId="0" applyAlignment="1" applyBorder="1" applyFont="1">
      <alignment horizontal="center" shrinkToFit="0" wrapText="1"/>
    </xf>
    <xf borderId="6" fillId="2" fontId="4" numFmtId="0" xfId="0" applyAlignment="1" applyBorder="1" applyFont="1">
      <alignment horizontal="center" shrinkToFit="0" wrapText="1"/>
    </xf>
    <xf borderId="6" fillId="2" fontId="5" numFmtId="0" xfId="0" applyAlignment="1" applyBorder="1" applyFont="1">
      <alignment horizontal="center" shrinkToFit="0" wrapText="1"/>
    </xf>
    <xf borderId="6" fillId="3" fontId="6" numFmtId="3" xfId="0" applyAlignment="1" applyBorder="1" applyFont="1" applyNumberFormat="1">
      <alignment horizontal="center" shrinkToFit="0" wrapText="1"/>
    </xf>
    <xf borderId="6" fillId="2" fontId="4" numFmtId="3" xfId="0" applyAlignment="1" applyBorder="1" applyFont="1" applyNumberFormat="1">
      <alignment horizontal="center" shrinkToFit="0" wrapText="1"/>
    </xf>
    <xf borderId="6" fillId="20" fontId="4" numFmtId="3" xfId="0" applyAlignment="1" applyBorder="1" applyFill="1" applyFont="1" applyNumberFormat="1">
      <alignment horizontal="center" shrinkToFit="0" wrapText="1"/>
    </xf>
    <xf borderId="6" fillId="5" fontId="5" numFmtId="3" xfId="0" applyAlignment="1" applyBorder="1" applyFont="1" applyNumberFormat="1">
      <alignment horizontal="center" shrinkToFit="0" wrapText="1"/>
    </xf>
    <xf borderId="6" fillId="5" fontId="4" numFmtId="3" xfId="0" applyAlignment="1" applyBorder="1" applyFont="1" applyNumberFormat="1">
      <alignment horizontal="center" shrinkToFit="0" wrapText="1"/>
    </xf>
    <xf borderId="6" fillId="5" fontId="5" numFmtId="165" xfId="0" applyAlignment="1" applyBorder="1" applyFont="1" applyNumberFormat="1">
      <alignment horizontal="center" shrinkToFit="0" wrapText="1"/>
    </xf>
    <xf borderId="6" fillId="2" fontId="4" numFmtId="3" xfId="0" applyAlignment="1" applyBorder="1" applyFont="1" applyNumberFormat="1">
      <alignment horizontal="center" shrinkToFit="0" vertical="bottom" wrapText="1"/>
    </xf>
    <xf borderId="6" fillId="8" fontId="5" numFmtId="3" xfId="0" applyAlignment="1" applyBorder="1" applyFont="1" applyNumberFormat="1">
      <alignment horizontal="center" shrinkToFit="0" wrapText="1"/>
    </xf>
    <xf borderId="6" fillId="8" fontId="4" numFmtId="3" xfId="0" applyAlignment="1" applyBorder="1" applyFont="1" applyNumberFormat="1">
      <alignment horizontal="center" shrinkToFit="0" wrapText="1"/>
    </xf>
    <xf borderId="6" fillId="9" fontId="5" numFmtId="3" xfId="0" applyAlignment="1" applyBorder="1" applyFont="1" applyNumberFormat="1">
      <alignment horizontal="center" shrinkToFit="0" wrapText="1"/>
    </xf>
    <xf borderId="6" fillId="9" fontId="7" numFmtId="3" xfId="0" applyAlignment="1" applyBorder="1" applyFont="1" applyNumberFormat="1">
      <alignment horizontal="center" shrinkToFit="0" wrapText="1"/>
    </xf>
    <xf borderId="6" fillId="9" fontId="1" numFmtId="3" xfId="0" applyBorder="1" applyFont="1" applyNumberFormat="1"/>
    <xf borderId="6" fillId="9" fontId="5" numFmtId="164" xfId="0" applyAlignment="1" applyBorder="1" applyFont="1" applyNumberFormat="1">
      <alignment horizontal="center" shrinkToFit="0" wrapText="1"/>
    </xf>
    <xf borderId="6" fillId="9" fontId="4" numFmtId="3" xfId="0" applyAlignment="1" applyBorder="1" applyFont="1" applyNumberFormat="1">
      <alignment horizontal="center" shrinkToFit="0" wrapText="1"/>
    </xf>
    <xf borderId="6" fillId="10" fontId="5" numFmtId="3" xfId="0" applyAlignment="1" applyBorder="1" applyFont="1" applyNumberFormat="1">
      <alignment horizontal="center" shrinkToFit="0" wrapText="1"/>
    </xf>
    <xf borderId="6" fillId="10" fontId="4" numFmtId="3" xfId="0" applyAlignment="1" applyBorder="1" applyFont="1" applyNumberFormat="1">
      <alignment horizontal="center" shrinkToFit="0" vertical="bottom" wrapText="1"/>
    </xf>
    <xf borderId="6" fillId="10" fontId="4" numFmtId="3" xfId="0" applyAlignment="1" applyBorder="1" applyFont="1" applyNumberFormat="1">
      <alignment horizontal="center" shrinkToFit="0" wrapText="1"/>
    </xf>
    <xf borderId="6" fillId="11" fontId="5" numFmtId="3" xfId="0" applyAlignment="1" applyBorder="1" applyFont="1" applyNumberFormat="1">
      <alignment horizontal="center" shrinkToFit="0" wrapText="1"/>
    </xf>
    <xf borderId="6" fillId="11" fontId="4" numFmtId="3" xfId="0" applyAlignment="1" applyBorder="1" applyFont="1" applyNumberFormat="1">
      <alignment horizontal="center" shrinkToFit="0" vertical="bottom" wrapText="1"/>
    </xf>
    <xf borderId="6" fillId="11" fontId="4" numFmtId="3" xfId="0" applyAlignment="1" applyBorder="1" applyFont="1" applyNumberFormat="1">
      <alignment horizontal="center" shrinkToFit="0" wrapText="1"/>
    </xf>
    <xf borderId="6" fillId="12" fontId="5" numFmtId="3" xfId="0" applyAlignment="1" applyBorder="1" applyFont="1" applyNumberFormat="1">
      <alignment horizontal="center" shrinkToFit="0" wrapText="1"/>
    </xf>
    <xf borderId="6" fillId="12" fontId="4" numFmtId="3" xfId="0" applyAlignment="1" applyBorder="1" applyFont="1" applyNumberFormat="1">
      <alignment horizontal="center" shrinkToFit="0" wrapText="1"/>
    </xf>
    <xf borderId="6" fillId="13" fontId="5" numFmtId="3" xfId="0" applyAlignment="1" applyBorder="1" applyFont="1" applyNumberFormat="1">
      <alignment horizontal="center" shrinkToFit="0" wrapText="1"/>
    </xf>
    <xf borderId="6" fillId="13" fontId="4" numFmtId="3" xfId="0" applyAlignment="1" applyBorder="1" applyFont="1" applyNumberFormat="1">
      <alignment horizontal="center" shrinkToFit="0" wrapText="1"/>
    </xf>
    <xf borderId="0" fillId="13" fontId="4" numFmtId="3" xfId="0" applyAlignment="1" applyFont="1" applyNumberFormat="1">
      <alignment horizontal="center" shrinkToFit="0" wrapText="1"/>
    </xf>
    <xf borderId="0" fillId="14" fontId="8" numFmtId="3" xfId="0" applyAlignment="1" applyFont="1" applyNumberFormat="1">
      <alignment horizontal="center" shrinkToFit="0" vertical="bottom" wrapText="1"/>
    </xf>
    <xf borderId="6" fillId="14" fontId="5" numFmtId="3" xfId="0" applyAlignment="1" applyBorder="1" applyFont="1" applyNumberFormat="1">
      <alignment horizontal="center" shrinkToFit="0" wrapText="1"/>
    </xf>
    <xf borderId="6" fillId="14" fontId="4" numFmtId="3" xfId="0" applyAlignment="1" applyBorder="1" applyFont="1" applyNumberFormat="1">
      <alignment horizontal="center" shrinkToFit="0" wrapText="1"/>
    </xf>
    <xf borderId="7" fillId="15" fontId="5" numFmtId="3" xfId="0" applyAlignment="1" applyBorder="1" applyFont="1" applyNumberFormat="1">
      <alignment horizontal="center" shrinkToFit="0" wrapText="1"/>
    </xf>
    <xf borderId="5" fillId="0" fontId="3" numFmtId="0" xfId="0" applyBorder="1" applyFont="1"/>
    <xf borderId="6" fillId="15" fontId="1" numFmtId="3" xfId="0" applyBorder="1" applyFont="1" applyNumberFormat="1"/>
    <xf borderId="6" fillId="15" fontId="4" numFmtId="3" xfId="0" applyAlignment="1" applyBorder="1" applyFont="1" applyNumberFormat="1">
      <alignment horizontal="center" shrinkToFit="0" wrapText="1"/>
    </xf>
    <xf borderId="6" fillId="16" fontId="5" numFmtId="3" xfId="0" applyAlignment="1" applyBorder="1" applyFont="1" applyNumberFormat="1">
      <alignment horizontal="center" shrinkToFit="0" wrapText="1"/>
    </xf>
    <xf borderId="7" fillId="16" fontId="4" numFmtId="3" xfId="0" applyAlignment="1" applyBorder="1" applyFont="1" applyNumberFormat="1">
      <alignment horizontal="center" shrinkToFit="0" wrapText="1"/>
    </xf>
    <xf borderId="0" fillId="17" fontId="4" numFmtId="3" xfId="0" applyAlignment="1" applyFont="1" applyNumberFormat="1">
      <alignment horizontal="center" shrinkToFit="0" wrapText="1"/>
    </xf>
    <xf borderId="0" fillId="18" fontId="4" numFmtId="166" xfId="0" applyAlignment="1" applyFont="1" applyNumberFormat="1">
      <alignment horizontal="center" shrinkToFit="0" wrapText="1"/>
    </xf>
    <xf borderId="0" fillId="19" fontId="1" numFmtId="166" xfId="0" applyFont="1" applyNumberFormat="1"/>
    <xf borderId="5" fillId="21" fontId="4" numFmtId="0" xfId="0" applyAlignment="1" applyBorder="1" applyFill="1" applyFont="1">
      <alignment horizontal="center" shrinkToFit="0" wrapText="1"/>
    </xf>
    <xf borderId="6" fillId="22" fontId="1" numFmtId="0" xfId="0" applyBorder="1" applyFill="1" applyFont="1"/>
    <xf borderId="6" fillId="22" fontId="1" numFmtId="167" xfId="0" applyBorder="1" applyFont="1" applyNumberFormat="1"/>
    <xf borderId="6" fillId="22" fontId="1" numFmtId="3" xfId="0" applyBorder="1" applyFont="1" applyNumberFormat="1"/>
    <xf borderId="6" fillId="22" fontId="1" numFmtId="165" xfId="0" applyBorder="1" applyFont="1" applyNumberFormat="1"/>
    <xf borderId="6" fillId="0" fontId="1" numFmtId="3" xfId="0" applyBorder="1" applyFont="1" applyNumberFormat="1"/>
    <xf borderId="6" fillId="22" fontId="1" numFmtId="164" xfId="0" applyBorder="1" applyFont="1" applyNumberFormat="1"/>
    <xf borderId="7" fillId="22" fontId="1" numFmtId="3" xfId="0" applyBorder="1" applyFont="1" applyNumberFormat="1"/>
    <xf borderId="5" fillId="23" fontId="5" numFmtId="0" xfId="0" applyAlignment="1" applyBorder="1" applyFill="1" applyFont="1">
      <alignment horizontal="center" shrinkToFit="0" wrapText="1"/>
    </xf>
    <xf borderId="6" fillId="0" fontId="5" numFmtId="0" xfId="0" applyAlignment="1" applyBorder="1" applyFont="1">
      <alignment horizontal="center" shrinkToFit="0" wrapText="1"/>
    </xf>
    <xf borderId="6" fillId="0" fontId="9" numFmtId="0" xfId="0" applyAlignment="1" applyBorder="1" applyFont="1">
      <alignment horizontal="center" shrinkToFit="0" wrapText="1"/>
    </xf>
    <xf borderId="6" fillId="0" fontId="4" numFmtId="0" xfId="0" applyAlignment="1" applyBorder="1" applyFont="1">
      <alignment horizontal="center" shrinkToFit="0" wrapText="1"/>
    </xf>
    <xf borderId="6" fillId="0" fontId="4" numFmtId="9" xfId="0" applyAlignment="1" applyBorder="1" applyFont="1" applyNumberFormat="1">
      <alignment horizontal="center" shrinkToFit="0" wrapText="1"/>
    </xf>
    <xf borderId="6" fillId="0" fontId="5" numFmtId="167" xfId="0" applyAlignment="1" applyBorder="1" applyFont="1" applyNumberFormat="1">
      <alignment horizontal="center" shrinkToFit="0" wrapText="1"/>
    </xf>
    <xf borderId="6" fillId="23" fontId="5" numFmtId="3" xfId="0" applyAlignment="1" applyBorder="1" applyFont="1" applyNumberFormat="1">
      <alignment horizontal="center" shrinkToFit="0" wrapText="1"/>
    </xf>
    <xf borderId="6" fillId="2" fontId="5" numFmtId="3" xfId="0" applyAlignment="1" applyBorder="1" applyFont="1" applyNumberFormat="1">
      <alignment horizontal="center" shrinkToFit="0" wrapText="1"/>
    </xf>
    <xf borderId="6" fillId="2" fontId="5" numFmtId="168" xfId="0" applyAlignment="1" applyBorder="1" applyFont="1" applyNumberFormat="1">
      <alignment horizontal="center" shrinkToFit="0" wrapText="1"/>
    </xf>
    <xf borderId="6" fillId="23" fontId="1" numFmtId="3" xfId="0" applyBorder="1" applyFont="1" applyNumberFormat="1"/>
    <xf borderId="6" fillId="0" fontId="5" numFmtId="165" xfId="0" applyAlignment="1" applyBorder="1" applyFont="1" applyNumberFormat="1">
      <alignment horizontal="center" shrinkToFit="0" wrapText="1"/>
    </xf>
    <xf borderId="6" fillId="20" fontId="10" numFmtId="3" xfId="0" applyAlignment="1" applyBorder="1" applyFont="1" applyNumberFormat="1">
      <alignment horizontal="center" shrinkToFit="0" wrapText="1"/>
    </xf>
    <xf borderId="6" fillId="0" fontId="10" numFmtId="3" xfId="0" applyAlignment="1" applyBorder="1" applyFont="1" applyNumberFormat="1">
      <alignment horizontal="center" shrinkToFit="0" wrapText="1"/>
    </xf>
    <xf borderId="6" fillId="24" fontId="5" numFmtId="3" xfId="0" applyAlignment="1" applyBorder="1" applyFill="1" applyFont="1" applyNumberFormat="1">
      <alignment horizontal="center" shrinkToFit="0" wrapText="1"/>
    </xf>
    <xf borderId="6" fillId="0" fontId="5" numFmtId="3" xfId="0" applyAlignment="1" applyBorder="1" applyFont="1" applyNumberFormat="1">
      <alignment horizontal="center" shrinkToFit="0" wrapText="1"/>
    </xf>
    <xf borderId="6" fillId="2" fontId="1" numFmtId="3" xfId="0" applyBorder="1" applyFont="1" applyNumberFormat="1"/>
    <xf borderId="6" fillId="23" fontId="1" numFmtId="164" xfId="0" applyBorder="1" applyFont="1" applyNumberFormat="1"/>
    <xf borderId="6" fillId="23" fontId="4" numFmtId="3" xfId="0" applyAlignment="1" applyBorder="1" applyFont="1" applyNumberFormat="1">
      <alignment horizontal="center" shrinkToFit="0" wrapText="1"/>
    </xf>
    <xf borderId="7" fillId="23" fontId="1" numFmtId="3" xfId="0" applyBorder="1" applyFont="1" applyNumberFormat="1"/>
    <xf borderId="0" fillId="0" fontId="1" numFmtId="3" xfId="0" applyFont="1" applyNumberFormat="1"/>
    <xf borderId="0" fillId="18" fontId="1" numFmtId="3" xfId="0" applyFont="1" applyNumberFormat="1"/>
    <xf borderId="0" fillId="19" fontId="1" numFmtId="3" xfId="0" applyFont="1" applyNumberFormat="1"/>
    <xf borderId="6" fillId="0" fontId="1" numFmtId="167" xfId="0" applyBorder="1" applyFont="1" applyNumberFormat="1"/>
    <xf borderId="6" fillId="24" fontId="10" numFmtId="3" xfId="0" applyAlignment="1" applyBorder="1" applyFont="1" applyNumberFormat="1">
      <alignment horizontal="center" shrinkToFit="0" wrapText="1"/>
    </xf>
    <xf borderId="6" fillId="0" fontId="1" numFmtId="164" xfId="0" applyBorder="1" applyFont="1" applyNumberFormat="1"/>
    <xf borderId="7" fillId="0" fontId="1" numFmtId="3" xfId="0" applyBorder="1" applyFont="1" applyNumberFormat="1"/>
    <xf borderId="6" fillId="2" fontId="11" numFmtId="3" xfId="0" applyAlignment="1" applyBorder="1" applyFont="1" applyNumberFormat="1">
      <alignment horizontal="center"/>
    </xf>
    <xf borderId="6" fillId="0" fontId="5" numFmtId="0" xfId="0" applyAlignment="1" applyBorder="1" applyFont="1">
      <alignment horizontal="center"/>
    </xf>
    <xf borderId="6" fillId="23" fontId="5" numFmtId="0" xfId="0" applyAlignment="1" applyBorder="1" applyFont="1">
      <alignment horizontal="center" shrinkToFit="0" wrapText="1"/>
    </xf>
    <xf borderId="6" fillId="23" fontId="9" numFmtId="0" xfId="0" applyAlignment="1" applyBorder="1" applyFont="1">
      <alignment horizontal="center" shrinkToFit="0" wrapText="1"/>
    </xf>
    <xf borderId="6" fillId="23" fontId="4" numFmtId="0" xfId="0" applyAlignment="1" applyBorder="1" applyFont="1">
      <alignment horizontal="center" shrinkToFit="0" wrapText="1"/>
    </xf>
    <xf borderId="6" fillId="23" fontId="5" numFmtId="165" xfId="0" applyAlignment="1" applyBorder="1" applyFont="1" applyNumberFormat="1">
      <alignment horizontal="center" shrinkToFit="0" wrapText="1"/>
    </xf>
    <xf borderId="5" fillId="21" fontId="4" numFmtId="0" xfId="0" applyAlignment="1" applyBorder="1" applyFont="1">
      <alignment horizontal="center" readingOrder="0" shrinkToFit="0" vertical="center" wrapText="1"/>
    </xf>
    <xf borderId="5" fillId="23" fontId="5" numFmtId="0" xfId="0" applyAlignment="1" applyBorder="1" applyFont="1">
      <alignment horizontal="center" shrinkToFit="0" wrapText="1"/>
    </xf>
    <xf borderId="6" fillId="23" fontId="5" numFmtId="0" xfId="0" applyAlignment="1" applyBorder="1" applyFont="1">
      <alignment horizontal="center" shrinkToFit="0" wrapText="1"/>
    </xf>
    <xf borderId="6" fillId="23" fontId="12" numFmtId="0" xfId="0" applyAlignment="1" applyBorder="1" applyFont="1">
      <alignment horizontal="center"/>
    </xf>
    <xf borderId="6" fillId="23" fontId="9" numFmtId="0" xfId="0" applyAlignment="1" applyBorder="1" applyFont="1">
      <alignment horizontal="center" shrinkToFit="0" wrapText="1"/>
    </xf>
    <xf borderId="6" fillId="23" fontId="4" numFmtId="0" xfId="0" applyAlignment="1" applyBorder="1" applyFont="1">
      <alignment horizontal="center" shrinkToFit="0" wrapText="1"/>
    </xf>
    <xf borderId="6" fillId="23" fontId="4" numFmtId="9" xfId="0" applyAlignment="1" applyBorder="1" applyFont="1" applyNumberFormat="1">
      <alignment horizontal="center" shrinkToFit="0" wrapText="1"/>
    </xf>
    <xf borderId="6" fillId="23" fontId="1" numFmtId="167" xfId="0" applyBorder="1" applyFont="1" applyNumberFormat="1"/>
    <xf borderId="0" fillId="23" fontId="5" numFmtId="0" xfId="0" applyAlignment="1" applyFont="1">
      <alignment horizontal="center" shrinkToFit="0" wrapText="1"/>
    </xf>
    <xf borderId="0" fillId="23" fontId="12" numFmtId="0" xfId="0" applyAlignment="1" applyFont="1">
      <alignment horizontal="center"/>
    </xf>
    <xf borderId="0" fillId="23" fontId="9" numFmtId="0" xfId="0" applyAlignment="1" applyFont="1">
      <alignment horizontal="center" shrinkToFit="0" wrapText="1"/>
    </xf>
    <xf borderId="0" fillId="23" fontId="4" numFmtId="0" xfId="0" applyAlignment="1" applyFont="1">
      <alignment horizontal="center" shrinkToFit="0" wrapText="1"/>
    </xf>
    <xf borderId="0" fillId="23" fontId="1" numFmtId="0" xfId="0" applyFont="1"/>
    <xf borderId="6" fillId="23" fontId="1" numFmtId="0" xfId="0" applyBorder="1" applyFont="1"/>
    <xf borderId="6" fillId="23" fontId="1" numFmtId="9" xfId="0" applyBorder="1" applyFont="1" applyNumberFormat="1"/>
    <xf borderId="6" fillId="0" fontId="12" numFmtId="0" xfId="0" applyAlignment="1" applyBorder="1" applyFont="1">
      <alignment horizontal="right"/>
    </xf>
    <xf borderId="6" fillId="0" fontId="4" numFmtId="3" xfId="0" applyAlignment="1" applyBorder="1" applyFont="1" applyNumberFormat="1">
      <alignment horizontal="center" shrinkToFit="0" wrapText="1"/>
    </xf>
    <xf borderId="0" fillId="0" fontId="1" numFmtId="3" xfId="0" applyAlignment="1" applyFont="1" applyNumberFormat="1">
      <alignment vertical="bottom"/>
    </xf>
    <xf borderId="6" fillId="23" fontId="13" numFmtId="3" xfId="0" applyBorder="1" applyFont="1" applyNumberFormat="1"/>
    <xf borderId="6" fillId="0" fontId="1" numFmtId="0" xfId="0" applyBorder="1" applyFont="1"/>
    <xf borderId="6" fillId="23" fontId="1" numFmtId="9" xfId="0" applyBorder="1" applyFont="1" applyNumberFormat="1"/>
    <xf borderId="6" fillId="0" fontId="5" numFmtId="168" xfId="0" applyAlignment="1" applyBorder="1" applyFont="1" applyNumberFormat="1">
      <alignment horizontal="center" shrinkToFit="0" wrapText="1"/>
    </xf>
    <xf borderId="6" fillId="23" fontId="1" numFmtId="169" xfId="0" applyBorder="1" applyFont="1" applyNumberFormat="1"/>
    <xf borderId="6" fillId="23" fontId="5" numFmtId="169" xfId="0" applyAlignment="1" applyBorder="1" applyFont="1" applyNumberFormat="1">
      <alignment horizontal="center" shrinkToFit="0" wrapText="1"/>
    </xf>
    <xf borderId="6" fillId="23" fontId="5" numFmtId="170" xfId="0" applyAlignment="1" applyBorder="1" applyFont="1" applyNumberFormat="1">
      <alignment horizontal="center" shrinkToFit="0" wrapText="1"/>
    </xf>
    <xf borderId="6" fillId="23" fontId="1" numFmtId="170" xfId="0" applyBorder="1" applyFont="1" applyNumberFormat="1"/>
    <xf borderId="7" fillId="0" fontId="5" numFmtId="3" xfId="0" applyAlignment="1" applyBorder="1" applyFont="1" applyNumberFormat="1">
      <alignment horizontal="center" shrinkToFit="0" wrapText="1"/>
    </xf>
    <xf borderId="8" fillId="23" fontId="5" numFmtId="0" xfId="0" applyAlignment="1" applyBorder="1" applyFont="1">
      <alignment horizontal="center" shrinkToFit="0" wrapText="1"/>
    </xf>
    <xf borderId="6" fillId="23" fontId="4" numFmtId="9" xfId="0" applyAlignment="1" applyBorder="1" applyFont="1" applyNumberFormat="1">
      <alignment horizontal="center" shrinkToFit="0" wrapText="1"/>
    </xf>
    <xf borderId="6" fillId="0" fontId="1" numFmtId="169" xfId="0" applyBorder="1" applyFont="1" applyNumberFormat="1"/>
    <xf borderId="6" fillId="0" fontId="5" numFmtId="169" xfId="0" applyAlignment="1" applyBorder="1" applyFont="1" applyNumberFormat="1">
      <alignment horizontal="center" shrinkToFit="0" wrapText="1"/>
    </xf>
    <xf borderId="5" fillId="0" fontId="5" numFmtId="0" xfId="0" applyAlignment="1" applyBorder="1" applyFont="1">
      <alignment horizontal="center" shrinkToFit="0" wrapText="1"/>
    </xf>
    <xf borderId="0" fillId="0" fontId="5" numFmtId="0" xfId="0" applyAlignment="1" applyFont="1">
      <alignment horizontal="center"/>
    </xf>
    <xf borderId="0" fillId="0" fontId="5" numFmtId="0" xfId="0" applyAlignment="1" applyFont="1">
      <alignment horizontal="right"/>
    </xf>
    <xf borderId="0" fillId="0" fontId="1" numFmtId="0" xfId="0" applyFont="1"/>
    <xf borderId="0" fillId="23" fontId="1" numFmtId="3" xfId="0" applyFont="1" applyNumberFormat="1"/>
    <xf borderId="6" fillId="0" fontId="5" numFmtId="164" xfId="0" applyAlignment="1" applyBorder="1" applyFont="1" applyNumberFormat="1">
      <alignment horizontal="center" shrinkToFit="0" wrapText="1"/>
    </xf>
    <xf borderId="0" fillId="0" fontId="12" numFmtId="0" xfId="0" applyAlignment="1" applyFont="1">
      <alignment horizontal="center"/>
    </xf>
    <xf borderId="0" fillId="23" fontId="1" numFmtId="169" xfId="0" applyFont="1" applyNumberFormat="1"/>
    <xf borderId="0" fillId="23" fontId="5" numFmtId="169" xfId="0" applyAlignment="1" applyFont="1" applyNumberFormat="1">
      <alignment horizontal="center" shrinkToFit="0" wrapText="1"/>
    </xf>
    <xf borderId="0" fillId="0" fontId="5" numFmtId="0" xfId="0" applyAlignment="1" applyFont="1">
      <alignment horizontal="center" shrinkToFit="0" wrapText="1"/>
    </xf>
    <xf borderId="0" fillId="18" fontId="5" numFmtId="3" xfId="0" applyAlignment="1" applyFont="1" applyNumberFormat="1">
      <alignment horizontal="center" shrinkToFit="0" wrapText="1"/>
    </xf>
    <xf borderId="3" fillId="0" fontId="1" numFmtId="3" xfId="0" applyBorder="1" applyFont="1" applyNumberFormat="1"/>
    <xf borderId="3" fillId="0" fontId="5" numFmtId="0" xfId="0" applyAlignment="1" applyBorder="1" applyFont="1">
      <alignment horizontal="center"/>
    </xf>
    <xf borderId="6" fillId="25" fontId="5" numFmtId="169" xfId="0" applyAlignment="1" applyBorder="1" applyFill="1" applyFont="1" applyNumberFormat="1">
      <alignment horizontal="center" shrinkToFit="0" wrapText="1"/>
    </xf>
    <xf borderId="6" fillId="20" fontId="10" numFmtId="165" xfId="0" applyAlignment="1" applyBorder="1" applyFont="1" applyNumberFormat="1">
      <alignment horizontal="center" shrinkToFit="0" wrapText="1"/>
    </xf>
    <xf borderId="6" fillId="0" fontId="5" numFmtId="4" xfId="0" applyAlignment="1" applyBorder="1" applyFont="1" applyNumberFormat="1">
      <alignment horizontal="center" shrinkToFit="0" wrapText="1"/>
    </xf>
    <xf borderId="6" fillId="0" fontId="5" numFmtId="171" xfId="0" applyAlignment="1" applyBorder="1" applyFont="1" applyNumberFormat="1">
      <alignment horizontal="center" shrinkToFit="0" wrapText="1"/>
    </xf>
    <xf borderId="6" fillId="0" fontId="5" numFmtId="172" xfId="0" applyAlignment="1" applyBorder="1" applyFont="1" applyNumberFormat="1">
      <alignment horizontal="center" shrinkToFit="0" wrapText="1"/>
    </xf>
    <xf borderId="6" fillId="25" fontId="1" numFmtId="3" xfId="0" applyBorder="1" applyFont="1" applyNumberFormat="1"/>
    <xf borderId="0" fillId="0" fontId="5" numFmtId="3" xfId="0" applyAlignment="1" applyFont="1" applyNumberFormat="1">
      <alignment horizontal="center" shrinkToFit="0" wrapText="1"/>
    </xf>
    <xf borderId="6" fillId="0" fontId="1" numFmtId="3" xfId="0" applyAlignment="1" applyBorder="1" applyFont="1" applyNumberFormat="1">
      <alignment vertical="bottom"/>
    </xf>
    <xf borderId="5" fillId="11" fontId="5" numFmtId="0" xfId="0" applyAlignment="1" applyBorder="1" applyFont="1">
      <alignment horizontal="center" shrinkToFit="0" wrapText="1"/>
    </xf>
    <xf borderId="6" fillId="2" fontId="1" numFmtId="0" xfId="0" applyBorder="1" applyFont="1"/>
    <xf borderId="6" fillId="0" fontId="1" numFmtId="173" xfId="0" applyBorder="1" applyFont="1" applyNumberFormat="1"/>
    <xf borderId="6" fillId="26" fontId="4" numFmtId="3" xfId="0" applyAlignment="1" applyBorder="1" applyFill="1" applyFont="1" applyNumberFormat="1">
      <alignment horizontal="center" shrinkToFit="0" wrapText="1"/>
    </xf>
    <xf borderId="6" fillId="23" fontId="7" numFmtId="3" xfId="0" applyAlignment="1" applyBorder="1" applyFont="1" applyNumberFormat="1">
      <alignment horizontal="center" shrinkToFit="0" wrapText="1"/>
    </xf>
    <xf borderId="0" fillId="19" fontId="4" numFmtId="3" xfId="0" applyAlignment="1" applyFont="1" applyNumberFormat="1">
      <alignment horizontal="center" shrinkToFit="0" wrapText="1"/>
    </xf>
    <xf borderId="6" fillId="24" fontId="5" numFmtId="4" xfId="0" applyAlignment="1" applyBorder="1" applyFont="1" applyNumberFormat="1">
      <alignment horizontal="center" shrinkToFit="0" wrapText="1"/>
    </xf>
    <xf borderId="0" fillId="2" fontId="1" numFmtId="0" xfId="0" applyFont="1"/>
    <xf borderId="6" fillId="0" fontId="7" numFmtId="173" xfId="0" applyAlignment="1" applyBorder="1" applyFont="1" applyNumberFormat="1">
      <alignment horizontal="center" shrinkToFit="0" wrapText="1"/>
    </xf>
    <xf borderId="0" fillId="0" fontId="1" numFmtId="0" xfId="0" applyAlignment="1" applyFont="1">
      <alignment vertical="bottom"/>
    </xf>
    <xf borderId="5" fillId="11" fontId="5" numFmtId="0" xfId="0" applyAlignment="1" applyBorder="1" applyFont="1">
      <alignment horizontal="center" shrinkToFit="0" wrapText="1"/>
    </xf>
    <xf borderId="0" fillId="0" fontId="4" numFmtId="0" xfId="0" applyAlignment="1" applyFont="1">
      <alignment horizontal="center" vertical="bottom"/>
    </xf>
    <xf borderId="6" fillId="0" fontId="5" numFmtId="3" xfId="0" applyAlignment="1" applyBorder="1" applyFont="1" applyNumberFormat="1">
      <alignment horizontal="center" shrinkToFit="0" vertical="bottom" wrapText="1"/>
    </xf>
    <xf borderId="6" fillId="5" fontId="5" numFmtId="0" xfId="0" applyAlignment="1" applyBorder="1" applyFont="1">
      <alignment horizontal="center"/>
    </xf>
    <xf borderId="6" fillId="23" fontId="1" numFmtId="0" xfId="0" applyBorder="1" applyFont="1"/>
    <xf borderId="6" fillId="23" fontId="5" numFmtId="167" xfId="0" applyAlignment="1" applyBorder="1" applyFont="1" applyNumberFormat="1">
      <alignment horizontal="center" shrinkToFit="0" wrapText="1"/>
    </xf>
    <xf borderId="6" fillId="20" fontId="4" numFmtId="3" xfId="0" applyAlignment="1" applyBorder="1" applyFont="1" applyNumberFormat="1">
      <alignment horizontal="center" shrinkToFit="0" vertical="bottom" wrapText="1"/>
    </xf>
    <xf borderId="6" fillId="0" fontId="1" numFmtId="168" xfId="0" applyBorder="1" applyFont="1" applyNumberFormat="1"/>
    <xf borderId="6" fillId="23" fontId="7" numFmtId="168" xfId="0" applyAlignment="1" applyBorder="1" applyFont="1" applyNumberFormat="1">
      <alignment horizontal="center" shrinkToFit="0" wrapText="1"/>
    </xf>
    <xf borderId="6" fillId="23" fontId="7" numFmtId="173" xfId="0" applyAlignment="1" applyBorder="1" applyFont="1" applyNumberFormat="1">
      <alignment horizontal="center" shrinkToFit="0" wrapText="1"/>
    </xf>
    <xf borderId="6" fillId="0" fontId="7" numFmtId="3" xfId="0" applyAlignment="1" applyBorder="1" applyFont="1" applyNumberFormat="1">
      <alignment horizontal="center" shrinkToFit="0" wrapText="1"/>
    </xf>
    <xf borderId="6" fillId="0" fontId="1" numFmtId="171" xfId="0" applyBorder="1" applyFont="1" applyNumberFormat="1"/>
    <xf borderId="0" fillId="0" fontId="7" numFmtId="3" xfId="0" applyAlignment="1" applyFont="1" applyNumberFormat="1">
      <alignment horizontal="center"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9">
    <tableStyle count="2" pivot="0" name="Sheet1-style">
      <tableStyleElement dxfId="1" type="firstRowStripe"/>
      <tableStyleElement dxfId="2" type="secondRowStripe"/>
    </tableStyle>
    <tableStyle count="2" pivot="0" name="Sheet1-style 2">
      <tableStyleElement dxfId="2" type="firstRowStripe"/>
      <tableStyleElement dxfId="1" type="secondRowStripe"/>
    </tableStyle>
    <tableStyle count="2" pivot="0" name="Sheet1-style 3">
      <tableStyleElement dxfId="2" type="firstRowStripe"/>
      <tableStyleElement dxfId="1" type="secondRowStripe"/>
    </tableStyle>
    <tableStyle count="2" pivot="0" name="Sheet1-style 4">
      <tableStyleElement dxfId="1" type="firstRowStripe"/>
      <tableStyleElement dxfId="1" type="secondRowStripe"/>
    </tableStyle>
    <tableStyle count="2" pivot="0" name="Sheet1-style 5">
      <tableStyleElement dxfId="2" type="firstRowStripe"/>
      <tableStyleElement dxfId="1" type="secondRowStripe"/>
    </tableStyle>
    <tableStyle count="2" pivot="0" name="Sheet1-style 6">
      <tableStyleElement dxfId="1" type="firstRowStripe"/>
      <tableStyleElement dxfId="2" type="secondRowStripe"/>
    </tableStyle>
    <tableStyle count="2" pivot="0" name="Sheet1-style 7">
      <tableStyleElement dxfId="1" type="firstRowStripe"/>
      <tableStyleElement dxfId="2" type="secondRowStripe"/>
    </tableStyle>
    <tableStyle count="2" pivot="0" name="Sheet1-style 8">
      <tableStyleElement dxfId="2" type="firstRowStripe"/>
      <tableStyleElement dxfId="1" type="secondRowStripe"/>
    </tableStyle>
    <tableStyle count="2" pivot="0" name="Sheet1-style 9">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4:J15"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style" showColumnStripes="0" showFirstColumn="1" showLastColumn="1" showRowStripes="1"/>
</table>
</file>

<file path=xl/tables/table2.xml><?xml version="1.0" encoding="utf-8"?>
<table xmlns="http://schemas.openxmlformats.org/spreadsheetml/2006/main" headerRowCount="0" ref="A16:J17"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style 2" showColumnStripes="0" showFirstColumn="1" showLastColumn="1" showRowStripes="1"/>
</table>
</file>

<file path=xl/tables/table3.xml><?xml version="1.0" encoding="utf-8"?>
<table xmlns="http://schemas.openxmlformats.org/spreadsheetml/2006/main" headerRowCount="0" ref="A18:J27"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style 3" showColumnStripes="0" showFirstColumn="1" showLastColumn="1" showRowStripes="1"/>
</table>
</file>

<file path=xl/tables/table4.xml><?xml version="1.0" encoding="utf-8"?>
<table xmlns="http://schemas.openxmlformats.org/spreadsheetml/2006/main" headerRowCount="0" ref="A41:I42"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4" showColumnStripes="0" showFirstColumn="1" showLastColumn="1" showRowStripes="1"/>
</table>
</file>

<file path=xl/tables/table5.xml><?xml version="1.0" encoding="utf-8"?>
<table xmlns="http://schemas.openxmlformats.org/spreadsheetml/2006/main" headerRowCount="0" ref="A46:D50" displayName="Table_5" name="Table_5" id="5">
  <tableColumns count="4">
    <tableColumn name="Column1" id="1"/>
    <tableColumn name="Column2" id="2"/>
    <tableColumn name="Column3" id="3"/>
    <tableColumn name="Column4" id="4"/>
  </tableColumns>
  <tableStyleInfo name="Sheet1-style 5" showColumnStripes="0" showFirstColumn="1" showLastColumn="1" showRowStripes="1"/>
</table>
</file>

<file path=xl/tables/table6.xml><?xml version="1.0" encoding="utf-8"?>
<table xmlns="http://schemas.openxmlformats.org/spreadsheetml/2006/main" headerRowCount="0" ref="A51:D52" displayName="Table_6" name="Table_6" id="6">
  <tableColumns count="4">
    <tableColumn name="Column1" id="1"/>
    <tableColumn name="Column2" id="2"/>
    <tableColumn name="Column3" id="3"/>
    <tableColumn name="Column4" id="4"/>
  </tableColumns>
  <tableStyleInfo name="Sheet1-style 6" showColumnStripes="0" showFirstColumn="1" showLastColumn="1" showRowStripes="1"/>
</table>
</file>

<file path=xl/tables/table7.xml><?xml version="1.0" encoding="utf-8"?>
<table xmlns="http://schemas.openxmlformats.org/spreadsheetml/2006/main" headerRowCount="0" ref="A53:D54" displayName="Table_7" name="Table_7" id="7">
  <tableColumns count="4">
    <tableColumn name="Column1" id="1"/>
    <tableColumn name="Column2" id="2"/>
    <tableColumn name="Column3" id="3"/>
    <tableColumn name="Column4" id="4"/>
  </tableColumns>
  <tableStyleInfo name="Sheet1-style 7" showColumnStripes="0" showFirstColumn="1" showLastColumn="1" showRowStripes="1"/>
</table>
</file>

<file path=xl/tables/table8.xml><?xml version="1.0" encoding="utf-8"?>
<table xmlns="http://schemas.openxmlformats.org/spreadsheetml/2006/main" headerRowCount="0" ref="A55:D56" displayName="Table_8" name="Table_8" id="8">
  <tableColumns count="4">
    <tableColumn name="Column1" id="1"/>
    <tableColumn name="Column2" id="2"/>
    <tableColumn name="Column3" id="3"/>
    <tableColumn name="Column4" id="4"/>
  </tableColumns>
  <tableStyleInfo name="Sheet1-style 8" showColumnStripes="0" showFirstColumn="1" showLastColumn="1" showRowStripes="1"/>
</table>
</file>

<file path=xl/tables/table9.xml><?xml version="1.0" encoding="utf-8"?>
<table xmlns="http://schemas.openxmlformats.org/spreadsheetml/2006/main" headerRowCount="0" ref="A57:D58" displayName="Table_9" name="Table_9" id="9">
  <tableColumns count="4">
    <tableColumn name="Column1" id="1"/>
    <tableColumn name="Column2" id="2"/>
    <tableColumn name="Column3" id="3"/>
    <tableColumn name="Column4" id="4"/>
  </tableColumns>
  <tableStyleInfo name="Sheet1-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20" Type="http://schemas.openxmlformats.org/officeDocument/2006/relationships/table" Target="../tables/table8.xml"/><Relationship Id="rId21" Type="http://schemas.openxmlformats.org/officeDocument/2006/relationships/table" Target="../tables/table9.xml"/><Relationship Id="rId13" Type="http://schemas.openxmlformats.org/officeDocument/2006/relationships/table" Target="../tables/table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1"/>
      <c r="B1" s="2" t="s">
        <v>0</v>
      </c>
      <c r="C1" s="3"/>
      <c r="D1" s="3"/>
      <c r="E1" s="3"/>
      <c r="F1" s="3"/>
      <c r="G1" s="3"/>
      <c r="H1" s="3"/>
      <c r="I1" s="3"/>
      <c r="J1" s="4"/>
      <c r="K1" s="5" t="s">
        <v>1</v>
      </c>
      <c r="L1" s="6"/>
      <c r="M1" s="7" t="s">
        <v>2</v>
      </c>
      <c r="N1" s="8"/>
      <c r="O1" s="8"/>
      <c r="P1" s="8"/>
      <c r="Q1" s="8"/>
      <c r="R1" s="8"/>
      <c r="S1" s="8"/>
      <c r="T1" s="8"/>
      <c r="U1" s="6"/>
      <c r="V1" s="9"/>
      <c r="W1" s="10" t="s">
        <v>3</v>
      </c>
      <c r="X1" s="8"/>
      <c r="Y1" s="8"/>
      <c r="Z1" s="8"/>
      <c r="AA1" s="8"/>
      <c r="AB1" s="8"/>
      <c r="AC1" s="8"/>
      <c r="AD1" s="8"/>
      <c r="AE1" s="8"/>
      <c r="AF1" s="8"/>
      <c r="AG1" s="8"/>
      <c r="AH1" s="8"/>
      <c r="AI1" s="8"/>
      <c r="AJ1" s="6"/>
      <c r="AK1" s="11"/>
      <c r="AL1" s="12" t="s">
        <v>4</v>
      </c>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6"/>
      <c r="BS1" s="13" t="s">
        <v>5</v>
      </c>
      <c r="BT1" s="8"/>
      <c r="BU1" s="8"/>
      <c r="BV1" s="8"/>
      <c r="BW1" s="8"/>
      <c r="BX1" s="8"/>
      <c r="BY1" s="8"/>
      <c r="BZ1" s="8"/>
      <c r="CA1" s="6"/>
      <c r="CB1" s="14" t="s">
        <v>6</v>
      </c>
      <c r="CC1" s="8"/>
      <c r="CD1" s="8"/>
      <c r="CE1" s="8"/>
      <c r="CF1" s="8"/>
      <c r="CG1" s="8"/>
      <c r="CH1" s="8"/>
      <c r="CI1" s="8"/>
      <c r="CJ1" s="8"/>
      <c r="CK1" s="8"/>
      <c r="CL1" s="8"/>
      <c r="CM1" s="8"/>
      <c r="CN1" s="8"/>
      <c r="CO1" s="8"/>
      <c r="CP1" s="8"/>
      <c r="CQ1" s="8"/>
      <c r="CR1" s="8"/>
      <c r="CS1" s="6"/>
      <c r="CT1" s="15"/>
      <c r="CU1" s="16" t="s">
        <v>7</v>
      </c>
      <c r="CV1" s="17"/>
      <c r="CW1" s="17"/>
      <c r="CX1" s="17"/>
      <c r="CY1" s="17"/>
      <c r="CZ1" s="17"/>
      <c r="DA1" s="17"/>
      <c r="DB1" s="17"/>
      <c r="DC1" s="17"/>
      <c r="DD1" s="17"/>
      <c r="DE1" s="17"/>
      <c r="DF1" s="17"/>
      <c r="DG1" s="18"/>
      <c r="DH1" s="17"/>
      <c r="DI1" s="19"/>
      <c r="DJ1" s="20" t="s">
        <v>8</v>
      </c>
      <c r="DK1" s="8"/>
      <c r="DL1" s="8"/>
      <c r="DM1" s="8"/>
      <c r="DN1" s="8"/>
      <c r="DO1" s="8"/>
      <c r="DP1" s="8"/>
      <c r="DQ1" s="8"/>
      <c r="DR1" s="8"/>
      <c r="DS1" s="8"/>
      <c r="DT1" s="8"/>
      <c r="DU1" s="8"/>
      <c r="DV1" s="8"/>
      <c r="DW1" s="8"/>
      <c r="DX1" s="8"/>
      <c r="DY1" s="6"/>
      <c r="DZ1" s="21" t="s">
        <v>9</v>
      </c>
      <c r="EA1" s="8"/>
      <c r="EB1" s="8"/>
      <c r="EC1" s="8"/>
      <c r="ED1" s="8"/>
      <c r="EE1" s="8"/>
      <c r="EF1" s="8"/>
      <c r="EG1" s="8"/>
      <c r="EH1" s="8"/>
      <c r="EI1" s="8"/>
      <c r="EJ1" s="8"/>
      <c r="EK1" s="8"/>
      <c r="EL1" s="8"/>
      <c r="EM1" s="8"/>
      <c r="EN1" s="8"/>
      <c r="EO1" s="8"/>
      <c r="EP1" s="8"/>
      <c r="EQ1" s="6"/>
      <c r="ER1" s="22"/>
      <c r="ES1" s="22"/>
      <c r="ET1" s="23" t="s">
        <v>10</v>
      </c>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6"/>
      <c r="FZ1" s="24"/>
      <c r="GA1" s="25" t="s">
        <v>11</v>
      </c>
      <c r="GB1" s="8"/>
      <c r="GC1" s="8"/>
      <c r="GD1" s="8"/>
      <c r="GE1" s="8"/>
      <c r="GF1" s="8"/>
      <c r="GG1" s="8"/>
      <c r="GH1" s="8"/>
      <c r="GI1" s="8"/>
      <c r="GJ1" s="8"/>
      <c r="GK1" s="8"/>
      <c r="GL1" s="8"/>
      <c r="GM1" s="8"/>
      <c r="GN1" s="8"/>
      <c r="GO1" s="8"/>
      <c r="GP1" s="8"/>
      <c r="GQ1" s="8"/>
      <c r="GR1" s="6"/>
      <c r="GS1" s="26"/>
      <c r="GT1" s="27" t="s">
        <v>12</v>
      </c>
      <c r="GU1" s="8"/>
      <c r="GV1" s="8"/>
      <c r="GW1" s="8"/>
      <c r="GX1" s="8"/>
      <c r="GY1" s="8"/>
      <c r="GZ1" s="6"/>
      <c r="HA1" s="28" t="s">
        <v>13</v>
      </c>
      <c r="HB1" s="8"/>
      <c r="HC1" s="8"/>
      <c r="HD1" s="8"/>
      <c r="HE1" s="8"/>
      <c r="HF1" s="6"/>
      <c r="HG1" s="29" t="s">
        <v>14</v>
      </c>
      <c r="HH1" s="8"/>
      <c r="HI1" s="8"/>
      <c r="HJ1" s="30" t="s">
        <v>15</v>
      </c>
      <c r="HK1" s="31" t="s">
        <v>16</v>
      </c>
      <c r="HL1" s="32" t="s">
        <v>17</v>
      </c>
    </row>
    <row r="2">
      <c r="A2" s="33" t="s">
        <v>18</v>
      </c>
      <c r="B2" s="34" t="s">
        <v>19</v>
      </c>
      <c r="C2" s="34" t="s">
        <v>20</v>
      </c>
      <c r="D2" s="34" t="s">
        <v>21</v>
      </c>
      <c r="E2" s="35" t="s">
        <v>22</v>
      </c>
      <c r="F2" s="35" t="s">
        <v>23</v>
      </c>
      <c r="G2" s="34" t="s">
        <v>24</v>
      </c>
      <c r="H2" s="35" t="s">
        <v>25</v>
      </c>
      <c r="I2" s="35" t="s">
        <v>26</v>
      </c>
      <c r="J2" s="35" t="s">
        <v>27</v>
      </c>
      <c r="K2" s="36" t="s">
        <v>28</v>
      </c>
      <c r="L2" s="36" t="s">
        <v>29</v>
      </c>
      <c r="M2" s="37" t="s">
        <v>30</v>
      </c>
      <c r="N2" s="37" t="s">
        <v>31</v>
      </c>
      <c r="O2" s="37" t="s">
        <v>32</v>
      </c>
      <c r="P2" s="37" t="s">
        <v>33</v>
      </c>
      <c r="Q2" s="38" t="s">
        <v>34</v>
      </c>
      <c r="R2" s="37" t="s">
        <v>35</v>
      </c>
      <c r="S2" s="37" t="s">
        <v>36</v>
      </c>
      <c r="T2" s="37" t="s">
        <v>37</v>
      </c>
      <c r="U2" s="37" t="s">
        <v>38</v>
      </c>
      <c r="V2" s="37" t="s">
        <v>39</v>
      </c>
      <c r="W2" s="39" t="s">
        <v>40</v>
      </c>
      <c r="X2" s="39" t="s">
        <v>41</v>
      </c>
      <c r="Y2" s="39" t="s">
        <v>42</v>
      </c>
      <c r="Z2" s="40" t="s">
        <v>43</v>
      </c>
      <c r="AA2" s="41" t="s">
        <v>44</v>
      </c>
      <c r="AB2" s="39" t="s">
        <v>45</v>
      </c>
      <c r="AC2" s="39" t="s">
        <v>46</v>
      </c>
      <c r="AD2" s="39" t="s">
        <v>47</v>
      </c>
      <c r="AE2" s="39" t="s">
        <v>48</v>
      </c>
      <c r="AF2" s="39" t="s">
        <v>49</v>
      </c>
      <c r="AG2" s="39" t="s">
        <v>50</v>
      </c>
      <c r="AH2" s="39" t="s">
        <v>51</v>
      </c>
      <c r="AI2" s="39" t="s">
        <v>52</v>
      </c>
      <c r="AJ2" s="40" t="s">
        <v>53</v>
      </c>
      <c r="AK2" s="40" t="s">
        <v>54</v>
      </c>
      <c r="AL2" s="37" t="s">
        <v>55</v>
      </c>
      <c r="AM2" s="37" t="s">
        <v>56</v>
      </c>
      <c r="AN2" s="37" t="s">
        <v>57</v>
      </c>
      <c r="AO2" s="37" t="s">
        <v>58</v>
      </c>
      <c r="AP2" s="37" t="s">
        <v>59</v>
      </c>
      <c r="AQ2" s="37" t="s">
        <v>60</v>
      </c>
      <c r="AR2" s="37" t="s">
        <v>61</v>
      </c>
      <c r="AS2" s="37" t="s">
        <v>62</v>
      </c>
      <c r="AT2" s="37" t="s">
        <v>63</v>
      </c>
      <c r="AU2" s="37" t="s">
        <v>64</v>
      </c>
      <c r="AV2" s="37" t="s">
        <v>65</v>
      </c>
      <c r="AW2" s="37" t="s">
        <v>66</v>
      </c>
      <c r="AX2" s="37" t="s">
        <v>67</v>
      </c>
      <c r="AY2" s="37" t="s">
        <v>68</v>
      </c>
      <c r="AZ2" s="37" t="s">
        <v>69</v>
      </c>
      <c r="BA2" s="37" t="s">
        <v>70</v>
      </c>
      <c r="BB2" s="37" t="s">
        <v>71</v>
      </c>
      <c r="BC2" s="37" t="s">
        <v>72</v>
      </c>
      <c r="BD2" s="37" t="s">
        <v>73</v>
      </c>
      <c r="BE2" s="37" t="s">
        <v>74</v>
      </c>
      <c r="BF2" s="37" t="s">
        <v>75</v>
      </c>
      <c r="BG2" s="37" t="s">
        <v>76</v>
      </c>
      <c r="BH2" s="37" t="s">
        <v>77</v>
      </c>
      <c r="BI2" s="37" t="s">
        <v>78</v>
      </c>
      <c r="BJ2" s="37" t="s">
        <v>79</v>
      </c>
      <c r="BK2" s="37" t="s">
        <v>80</v>
      </c>
      <c r="BL2" s="37" t="s">
        <v>81</v>
      </c>
      <c r="BM2" s="37" t="s">
        <v>82</v>
      </c>
      <c r="BN2" s="37" t="s">
        <v>83</v>
      </c>
      <c r="BO2" s="42" t="s">
        <v>84</v>
      </c>
      <c r="BP2" s="42" t="s">
        <v>85</v>
      </c>
      <c r="BQ2" s="42" t="s">
        <v>86</v>
      </c>
      <c r="BR2" s="42" t="s">
        <v>87</v>
      </c>
      <c r="BS2" s="37" t="s">
        <v>88</v>
      </c>
      <c r="BT2" s="37" t="s">
        <v>89</v>
      </c>
      <c r="BU2" s="37" t="s">
        <v>90</v>
      </c>
      <c r="BV2" s="37" t="s">
        <v>91</v>
      </c>
      <c r="BW2" s="37" t="s">
        <v>92</v>
      </c>
      <c r="BX2" s="37" t="s">
        <v>93</v>
      </c>
      <c r="BY2" s="37" t="s">
        <v>70</v>
      </c>
      <c r="BZ2" s="37" t="s">
        <v>94</v>
      </c>
      <c r="CA2" s="37" t="s">
        <v>95</v>
      </c>
      <c r="CB2" s="43" t="s">
        <v>96</v>
      </c>
      <c r="CC2" s="43" t="s">
        <v>97</v>
      </c>
      <c r="CD2" s="43" t="s">
        <v>98</v>
      </c>
      <c r="CE2" s="43" t="s">
        <v>99</v>
      </c>
      <c r="CF2" s="43" t="s">
        <v>100</v>
      </c>
      <c r="CG2" s="43" t="s">
        <v>101</v>
      </c>
      <c r="CH2" s="44" t="s">
        <v>102</v>
      </c>
      <c r="CI2" s="43" t="s">
        <v>103</v>
      </c>
      <c r="CJ2" s="43" t="s">
        <v>104</v>
      </c>
      <c r="CK2" s="43" t="s">
        <v>105</v>
      </c>
      <c r="CL2" s="43" t="s">
        <v>106</v>
      </c>
      <c r="CM2" s="43" t="s">
        <v>107</v>
      </c>
      <c r="CN2" s="43" t="s">
        <v>108</v>
      </c>
      <c r="CO2" s="43" t="s">
        <v>109</v>
      </c>
      <c r="CP2" s="43" t="s">
        <v>110</v>
      </c>
      <c r="CQ2" s="43" t="s">
        <v>111</v>
      </c>
      <c r="CR2" s="43" t="s">
        <v>70</v>
      </c>
      <c r="CS2" s="44" t="s">
        <v>112</v>
      </c>
      <c r="CT2" s="45" t="s">
        <v>113</v>
      </c>
      <c r="CU2" s="45" t="s">
        <v>114</v>
      </c>
      <c r="CV2" s="45" t="s">
        <v>115</v>
      </c>
      <c r="CW2" s="45" t="s">
        <v>116</v>
      </c>
      <c r="CX2" s="45" t="s">
        <v>117</v>
      </c>
      <c r="CY2" s="45" t="s">
        <v>118</v>
      </c>
      <c r="CZ2" s="45" t="s">
        <v>119</v>
      </c>
      <c r="DA2" s="46" t="s">
        <v>120</v>
      </c>
      <c r="DB2" s="45" t="s">
        <v>121</v>
      </c>
      <c r="DC2" s="45" t="s">
        <v>122</v>
      </c>
      <c r="DD2" s="45" t="s">
        <v>123</v>
      </c>
      <c r="DE2" s="45" t="s">
        <v>116</v>
      </c>
      <c r="DF2" s="47"/>
      <c r="DG2" s="48" t="s">
        <v>51</v>
      </c>
      <c r="DH2" s="45" t="s">
        <v>119</v>
      </c>
      <c r="DI2" s="49" t="s">
        <v>70</v>
      </c>
      <c r="DJ2" s="50" t="s">
        <v>124</v>
      </c>
      <c r="DK2" s="50" t="s">
        <v>125</v>
      </c>
      <c r="DL2" s="50" t="s">
        <v>126</v>
      </c>
      <c r="DM2" s="50" t="s">
        <v>127</v>
      </c>
      <c r="DN2" s="50" t="s">
        <v>128</v>
      </c>
      <c r="DO2" s="50" t="s">
        <v>125</v>
      </c>
      <c r="DP2" s="50" t="s">
        <v>127</v>
      </c>
      <c r="DQ2" s="50" t="s">
        <v>129</v>
      </c>
      <c r="DR2" s="50" t="s">
        <v>125</v>
      </c>
      <c r="DS2" s="50" t="s">
        <v>127</v>
      </c>
      <c r="DT2" s="50" t="s">
        <v>130</v>
      </c>
      <c r="DU2" s="51" t="s">
        <v>131</v>
      </c>
      <c r="DV2" s="51" t="s">
        <v>132</v>
      </c>
      <c r="DW2" s="52" t="s">
        <v>70</v>
      </c>
      <c r="DX2" s="52" t="s">
        <v>133</v>
      </c>
      <c r="DY2" s="52" t="s">
        <v>134</v>
      </c>
      <c r="DZ2" s="53" t="s">
        <v>135</v>
      </c>
      <c r="EA2" s="53" t="s">
        <v>136</v>
      </c>
      <c r="EB2" s="53" t="s">
        <v>137</v>
      </c>
      <c r="EC2" s="53" t="s">
        <v>138</v>
      </c>
      <c r="ED2" s="53" t="s">
        <v>139</v>
      </c>
      <c r="EE2" s="53" t="s">
        <v>140</v>
      </c>
      <c r="EF2" s="53" t="s">
        <v>137</v>
      </c>
      <c r="EG2" s="53" t="s">
        <v>138</v>
      </c>
      <c r="EH2" s="53" t="s">
        <v>141</v>
      </c>
      <c r="EI2" s="53" t="s">
        <v>142</v>
      </c>
      <c r="EJ2" s="53" t="s">
        <v>137</v>
      </c>
      <c r="EK2" s="53" t="s">
        <v>143</v>
      </c>
      <c r="EL2" s="53" t="s">
        <v>144</v>
      </c>
      <c r="EM2" s="53" t="s">
        <v>142</v>
      </c>
      <c r="EN2" s="53" t="s">
        <v>143</v>
      </c>
      <c r="EO2" s="54" t="s">
        <v>131</v>
      </c>
      <c r="EP2" s="54" t="s">
        <v>132</v>
      </c>
      <c r="EQ2" s="55" t="s">
        <v>70</v>
      </c>
      <c r="ER2" s="55" t="s">
        <v>145</v>
      </c>
      <c r="ES2" s="55" t="s">
        <v>146</v>
      </c>
      <c r="ET2" s="56" t="s">
        <v>147</v>
      </c>
      <c r="EU2" s="56" t="s">
        <v>148</v>
      </c>
      <c r="EV2" s="56" t="s">
        <v>138</v>
      </c>
      <c r="EW2" s="56" t="s">
        <v>149</v>
      </c>
      <c r="EX2" s="56" t="s">
        <v>150</v>
      </c>
      <c r="EY2" s="56" t="s">
        <v>151</v>
      </c>
      <c r="EZ2" s="56" t="s">
        <v>152</v>
      </c>
      <c r="FA2" s="56" t="s">
        <v>153</v>
      </c>
      <c r="FB2" s="56" t="s">
        <v>138</v>
      </c>
      <c r="FC2" s="56" t="s">
        <v>149</v>
      </c>
      <c r="FD2" s="56" t="s">
        <v>150</v>
      </c>
      <c r="FE2" s="56" t="s">
        <v>151</v>
      </c>
      <c r="FF2" s="56" t="s">
        <v>154</v>
      </c>
      <c r="FG2" s="56" t="s">
        <v>142</v>
      </c>
      <c r="FH2" s="56" t="s">
        <v>138</v>
      </c>
      <c r="FI2" s="56" t="s">
        <v>155</v>
      </c>
      <c r="FJ2" s="56" t="s">
        <v>150</v>
      </c>
      <c r="FK2" s="56" t="s">
        <v>151</v>
      </c>
      <c r="FL2" s="56" t="s">
        <v>156</v>
      </c>
      <c r="FM2" s="56" t="s">
        <v>142</v>
      </c>
      <c r="FN2" s="56" t="s">
        <v>138</v>
      </c>
      <c r="FO2" s="56" t="s">
        <v>155</v>
      </c>
      <c r="FP2" s="56" t="s">
        <v>150</v>
      </c>
      <c r="FQ2" s="56" t="s">
        <v>151</v>
      </c>
      <c r="FR2" s="56" t="s">
        <v>157</v>
      </c>
      <c r="FS2" s="56" t="s">
        <v>142</v>
      </c>
      <c r="FT2" s="56" t="s">
        <v>138</v>
      </c>
      <c r="FU2" s="56" t="s">
        <v>158</v>
      </c>
      <c r="FV2" s="56" t="s">
        <v>150</v>
      </c>
      <c r="FW2" s="56" t="s">
        <v>151</v>
      </c>
      <c r="FX2" s="56" t="s">
        <v>70</v>
      </c>
      <c r="FY2" s="57" t="s">
        <v>159</v>
      </c>
      <c r="FZ2" s="57" t="s">
        <v>160</v>
      </c>
      <c r="GA2" s="58" t="s">
        <v>147</v>
      </c>
      <c r="GB2" s="58" t="s">
        <v>142</v>
      </c>
      <c r="GC2" s="58" t="s">
        <v>143</v>
      </c>
      <c r="GD2" s="59" t="s">
        <v>149</v>
      </c>
      <c r="GE2" s="59" t="s">
        <v>150</v>
      </c>
      <c r="GF2" s="58" t="s">
        <v>151</v>
      </c>
      <c r="GG2" s="58" t="s">
        <v>152</v>
      </c>
      <c r="GH2" s="58" t="s">
        <v>142</v>
      </c>
      <c r="GI2" s="58" t="s">
        <v>143</v>
      </c>
      <c r="GJ2" s="59" t="s">
        <v>149</v>
      </c>
      <c r="GK2" s="59" t="s">
        <v>150</v>
      </c>
      <c r="GL2" s="58" t="s">
        <v>151</v>
      </c>
      <c r="GM2" s="58" t="s">
        <v>154</v>
      </c>
      <c r="GN2" s="58" t="s">
        <v>142</v>
      </c>
      <c r="GO2" s="58" t="s">
        <v>143</v>
      </c>
      <c r="GP2" s="59" t="s">
        <v>149</v>
      </c>
      <c r="GQ2" s="58" t="s">
        <v>70</v>
      </c>
      <c r="GR2" s="59" t="s">
        <v>161</v>
      </c>
      <c r="GS2" s="60" t="s">
        <v>162</v>
      </c>
      <c r="GT2" s="61" t="s">
        <v>163</v>
      </c>
      <c r="GU2" s="61" t="s">
        <v>164</v>
      </c>
      <c r="GV2" s="62" t="s">
        <v>165</v>
      </c>
      <c r="GW2" s="62" t="s">
        <v>166</v>
      </c>
      <c r="GX2" s="62" t="s">
        <v>167</v>
      </c>
      <c r="GY2" s="62" t="s">
        <v>168</v>
      </c>
      <c r="GZ2" s="63" t="s">
        <v>70</v>
      </c>
      <c r="HA2" s="64" t="s">
        <v>169</v>
      </c>
      <c r="HB2" s="65"/>
      <c r="HC2" s="64" t="s">
        <v>170</v>
      </c>
      <c r="HD2" s="65"/>
      <c r="HE2" s="66"/>
      <c r="HF2" s="67" t="s">
        <v>70</v>
      </c>
      <c r="HG2" s="68" t="s">
        <v>171</v>
      </c>
      <c r="HH2" s="68" t="s">
        <v>172</v>
      </c>
      <c r="HI2" s="69" t="s">
        <v>70</v>
      </c>
      <c r="HJ2" s="70" t="s">
        <v>173</v>
      </c>
      <c r="HK2" s="71">
        <v>45666.0</v>
      </c>
      <c r="HL2" s="72"/>
    </row>
    <row r="3">
      <c r="A3" s="73" t="s">
        <v>174</v>
      </c>
      <c r="B3" s="74"/>
      <c r="C3" s="74"/>
      <c r="D3" s="74"/>
      <c r="E3" s="74"/>
      <c r="F3" s="74"/>
      <c r="G3" s="74"/>
      <c r="H3" s="74"/>
      <c r="I3" s="74"/>
      <c r="J3" s="75"/>
      <c r="K3" s="76"/>
      <c r="L3" s="76"/>
      <c r="M3" s="76"/>
      <c r="N3" s="76"/>
      <c r="O3" s="76"/>
      <c r="P3" s="76"/>
      <c r="Q3" s="76"/>
      <c r="R3" s="76"/>
      <c r="S3" s="76"/>
      <c r="T3" s="76"/>
      <c r="U3" s="76"/>
      <c r="V3" s="76"/>
      <c r="W3" s="76"/>
      <c r="X3" s="76"/>
      <c r="Y3" s="76"/>
      <c r="Z3" s="76"/>
      <c r="AA3" s="77"/>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8"/>
      <c r="CU3" s="76"/>
      <c r="CV3" s="76"/>
      <c r="CW3" s="76"/>
      <c r="CX3" s="76"/>
      <c r="CY3" s="76"/>
      <c r="CZ3" s="76"/>
      <c r="DA3" s="76"/>
      <c r="DB3" s="76"/>
      <c r="DC3" s="76"/>
      <c r="DD3" s="76"/>
      <c r="DE3" s="76"/>
      <c r="DF3" s="76"/>
      <c r="DG3" s="79"/>
      <c r="DH3" s="76"/>
      <c r="DI3" s="76"/>
      <c r="DJ3" s="76"/>
      <c r="DK3" s="76"/>
      <c r="DL3" s="76"/>
      <c r="DM3" s="76"/>
      <c r="DN3" s="76"/>
      <c r="DO3" s="76"/>
      <c r="DP3" s="76"/>
      <c r="DQ3" s="76"/>
      <c r="DR3" s="76"/>
      <c r="DS3" s="76"/>
      <c r="DT3" s="76"/>
      <c r="DU3" s="76"/>
      <c r="DV3" s="76"/>
      <c r="DW3" s="76"/>
      <c r="DX3" s="76"/>
      <c r="DY3" s="76"/>
      <c r="DZ3" s="76"/>
      <c r="EA3" s="76"/>
      <c r="EB3" s="76"/>
      <c r="EC3" s="76"/>
      <c r="ED3" s="76"/>
      <c r="EE3" s="76"/>
      <c r="EF3" s="76"/>
      <c r="EG3" s="76"/>
      <c r="EH3" s="76"/>
      <c r="EI3" s="76"/>
      <c r="EJ3" s="76"/>
      <c r="EK3" s="76"/>
      <c r="EL3" s="76"/>
      <c r="EM3" s="76"/>
      <c r="EN3" s="76"/>
      <c r="EO3" s="76"/>
      <c r="EP3" s="76"/>
      <c r="EQ3" s="76"/>
      <c r="ER3" s="76"/>
      <c r="ES3" s="76"/>
      <c r="ET3" s="76"/>
      <c r="EU3" s="76"/>
      <c r="EV3" s="76"/>
      <c r="EW3" s="76"/>
      <c r="EX3" s="76"/>
      <c r="EY3" s="76"/>
      <c r="EZ3" s="76"/>
      <c r="FA3" s="76"/>
      <c r="FB3" s="76"/>
      <c r="FC3" s="76"/>
      <c r="FD3" s="76"/>
      <c r="FE3" s="76"/>
      <c r="FF3" s="76"/>
      <c r="FG3" s="76"/>
      <c r="FH3" s="76"/>
      <c r="FI3" s="76"/>
      <c r="FJ3" s="76"/>
      <c r="FK3" s="76"/>
      <c r="FL3" s="76"/>
      <c r="FM3" s="76"/>
      <c r="FN3" s="76"/>
      <c r="FO3" s="76"/>
      <c r="FP3" s="76"/>
      <c r="FQ3" s="76"/>
      <c r="FR3" s="76"/>
      <c r="FS3" s="76"/>
      <c r="FT3" s="76"/>
      <c r="FU3" s="76"/>
      <c r="FV3" s="76"/>
      <c r="FW3" s="76"/>
      <c r="FX3" s="76"/>
      <c r="FY3" s="76"/>
      <c r="FZ3" s="76"/>
      <c r="GA3" s="76"/>
      <c r="GB3" s="76"/>
      <c r="GC3" s="76"/>
      <c r="GD3" s="76"/>
      <c r="GE3" s="76"/>
      <c r="GF3" s="76"/>
      <c r="GG3" s="76"/>
      <c r="GH3" s="76"/>
      <c r="GI3" s="76"/>
      <c r="GJ3" s="76"/>
      <c r="GK3" s="76"/>
      <c r="GL3" s="76"/>
      <c r="GM3" s="76"/>
      <c r="GN3" s="76"/>
      <c r="GO3" s="76"/>
      <c r="GP3" s="76"/>
      <c r="GQ3" s="76"/>
      <c r="GR3" s="76"/>
      <c r="GS3" s="76"/>
      <c r="GT3" s="76"/>
      <c r="GU3" s="76"/>
      <c r="GV3" s="76"/>
      <c r="GW3" s="76"/>
      <c r="GX3" s="76"/>
      <c r="GY3" s="76"/>
      <c r="GZ3" s="76"/>
      <c r="HA3" s="76"/>
      <c r="HB3" s="76"/>
      <c r="HC3" s="76"/>
      <c r="HD3" s="76"/>
      <c r="HE3" s="76"/>
      <c r="HF3" s="76"/>
      <c r="HG3" s="76"/>
      <c r="HH3" s="76"/>
      <c r="HI3" s="80"/>
      <c r="HJ3" s="80"/>
      <c r="HK3" s="80"/>
      <c r="HL3" s="80"/>
    </row>
    <row r="4">
      <c r="A4" s="81" t="s">
        <v>175</v>
      </c>
      <c r="B4" s="82">
        <v>53.0</v>
      </c>
      <c r="C4" s="82">
        <v>13.0</v>
      </c>
      <c r="D4" s="82">
        <v>7.0</v>
      </c>
      <c r="E4" s="83">
        <v>1.0</v>
      </c>
      <c r="F4" s="83">
        <v>1.0</v>
      </c>
      <c r="G4" s="82" t="s">
        <v>176</v>
      </c>
      <c r="H4" s="84">
        <v>6.6</v>
      </c>
      <c r="I4" s="85">
        <f t="shared" ref="I4:I12" si="1">H4/D4</f>
        <v>0.9428571429</v>
      </c>
      <c r="J4" s="86">
        <v>45170.0</v>
      </c>
      <c r="K4" s="87" t="s">
        <v>177</v>
      </c>
      <c r="L4" s="87" t="s">
        <v>178</v>
      </c>
      <c r="M4" s="37">
        <f t="shared" ref="M4:M12" si="2">BB4+DX4+ER4+FY4+GR4+CS4</f>
        <v>950000</v>
      </c>
      <c r="N4" s="37">
        <f t="shared" ref="N4:N12" si="3">M4/H4</f>
        <v>143939.3939</v>
      </c>
      <c r="O4" s="37">
        <f t="shared" ref="O4:O12" si="4">BR4</f>
        <v>188010</v>
      </c>
      <c r="P4" s="37">
        <f t="shared" ref="P4:P12" si="5">O4/H4</f>
        <v>28486.36364</v>
      </c>
      <c r="Q4" s="37">
        <f t="shared" ref="Q4:Q12" si="6">BD4+AJ4</f>
        <v>2100000</v>
      </c>
      <c r="R4" s="37">
        <f t="shared" ref="R4:R12" si="7">Q4/H4</f>
        <v>318181.8182</v>
      </c>
      <c r="S4" s="37">
        <f t="shared" ref="S4:S12" si="8">Q4-M4</f>
        <v>1150000</v>
      </c>
      <c r="T4" s="37">
        <f t="shared" ref="T4:T12" si="9">S4/H4</f>
        <v>174242.4242</v>
      </c>
      <c r="U4" s="38">
        <f t="shared" ref="U4:U12" si="10">Q4-O4-M4</f>
        <v>961990</v>
      </c>
      <c r="V4" s="38">
        <f t="shared" ref="V4:V12" si="11">U4/H4</f>
        <v>145756.0606</v>
      </c>
      <c r="W4" s="88">
        <f t="shared" ref="W4:W12" si="12">40*H4</f>
        <v>264</v>
      </c>
      <c r="X4" s="88">
        <v>1980000.0</v>
      </c>
      <c r="Y4" s="89">
        <v>45041.0</v>
      </c>
      <c r="Z4" s="90"/>
      <c r="AA4" s="91">
        <v>350.0</v>
      </c>
      <c r="AB4" s="92">
        <f t="shared" ref="AB4:AB12" si="13">AA4-W4</f>
        <v>86</v>
      </c>
      <c r="AC4" s="93">
        <f t="shared" ref="AC4:AC12" si="14">IF(X4&lt;&gt;"", IFS(AB4&lt;0, AB4*AF4, AB4&gt;0, 0, AB4="", ""), "")
</f>
        <v>0</v>
      </c>
      <c r="AD4" s="94">
        <f t="shared" ref="AD4:AD12" si="15">IF(X4&lt;&gt;"", IFS(AB4&lt;0, AB4*AF4, AB4&gt;0, 0, AB4="", ""), 0)</f>
        <v>0</v>
      </c>
      <c r="AE4" s="95">
        <f t="shared" ref="AE4:AE11" si="16">AA4/H4</f>
        <v>53.03030303</v>
      </c>
      <c r="AF4" s="95">
        <v>6000.0</v>
      </c>
      <c r="AG4" s="78"/>
      <c r="AH4" s="78"/>
      <c r="AI4" s="78"/>
      <c r="AJ4" s="37">
        <f t="shared" ref="AJ4:AJ12" si="17">AA4*AF4</f>
        <v>2100000</v>
      </c>
      <c r="AK4" s="37">
        <f t="shared" ref="AK4:AK12" si="18">AJ4/H4</f>
        <v>318181.8182</v>
      </c>
      <c r="AL4" s="95" t="s">
        <v>179</v>
      </c>
      <c r="AM4" s="95">
        <v>30.0</v>
      </c>
      <c r="AN4" s="95">
        <f t="shared" ref="AN4:AN12" si="19">AM4/H4</f>
        <v>4.545454545</v>
      </c>
      <c r="AO4" s="95">
        <v>10000.0</v>
      </c>
      <c r="AP4" s="78"/>
      <c r="AQ4" s="78"/>
      <c r="AR4" s="78"/>
      <c r="AS4" s="78"/>
      <c r="AT4" s="78"/>
      <c r="AU4" s="78"/>
      <c r="AV4" s="78"/>
      <c r="AW4" s="78"/>
      <c r="AX4" s="78"/>
      <c r="AY4" s="78"/>
      <c r="AZ4" s="78"/>
      <c r="BA4" s="78"/>
      <c r="BB4" s="37">
        <f t="shared" ref="BB4:BB12" si="20">AM4*AO4+AR4+(AU4*AV4+AY4)</f>
        <v>300000</v>
      </c>
      <c r="BC4" s="37">
        <f t="shared" ref="BC4:BC12" si="21">BB4/H4</f>
        <v>45454.54545</v>
      </c>
      <c r="BD4" s="37">
        <f t="shared" ref="BD4:BD12" si="22">AP4*AQ4+AW4*AX4</f>
        <v>0</v>
      </c>
      <c r="BE4" s="37">
        <f t="shared" ref="BE4:BE12" si="23">BD4/H4</f>
        <v>0</v>
      </c>
      <c r="BF4" s="95" t="s">
        <v>180</v>
      </c>
      <c r="BG4" s="95">
        <v>2.0</v>
      </c>
      <c r="BH4" s="95">
        <v>30000.0</v>
      </c>
      <c r="BI4" s="95" t="s">
        <v>181</v>
      </c>
      <c r="BJ4" s="95">
        <v>50.0</v>
      </c>
      <c r="BK4" s="95">
        <v>8000.0</v>
      </c>
      <c r="BL4" s="95" t="s">
        <v>182</v>
      </c>
      <c r="BM4" s="95">
        <v>150.0</v>
      </c>
      <c r="BN4" s="95">
        <v>2667.0</v>
      </c>
      <c r="BO4" s="95" t="s">
        <v>183</v>
      </c>
      <c r="BP4" s="95">
        <v>2.0</v>
      </c>
      <c r="BQ4" s="95">
        <v>40000.0</v>
      </c>
      <c r="BR4" s="37">
        <f>(BG4*BH4+BJ4*BK4+BM4*BN4+BP4*BQ4)/5</f>
        <v>188010</v>
      </c>
      <c r="BS4" s="96"/>
      <c r="BT4" s="96"/>
      <c r="BU4" s="96"/>
      <c r="BV4" s="96"/>
      <c r="BW4" s="96"/>
      <c r="BX4" s="96"/>
      <c r="BY4" s="96"/>
      <c r="BZ4" s="96"/>
      <c r="CA4" s="96"/>
      <c r="CB4" s="95">
        <f>7*28571</f>
        <v>199997</v>
      </c>
      <c r="CC4" s="95">
        <f t="shared" ref="CC4:CC12" si="24">CB4/H4</f>
        <v>30302.57576</v>
      </c>
      <c r="CD4" s="95">
        <f>5*24000</f>
        <v>120000</v>
      </c>
      <c r="CE4" s="95">
        <f t="shared" ref="CE4:CE12" si="25">CD4/H4</f>
        <v>18181.81818</v>
      </c>
      <c r="CF4" s="95">
        <f>7*21429</f>
        <v>150003</v>
      </c>
      <c r="CG4" s="95">
        <f t="shared" ref="CG4:CG5" si="26">CF4/H4</f>
        <v>22727.72727</v>
      </c>
      <c r="CH4" s="78"/>
      <c r="CI4" s="78"/>
      <c r="CJ4" s="78"/>
      <c r="CK4" s="78"/>
      <c r="CL4" s="78"/>
      <c r="CM4" s="78"/>
      <c r="CN4" s="78"/>
      <c r="CO4" s="78"/>
      <c r="CP4" s="95">
        <f t="shared" ref="CP4:CP12" si="27">AA4*1000</f>
        <v>350000</v>
      </c>
      <c r="CQ4" s="95">
        <f t="shared" ref="CQ4:CQ12" si="28">CP4/H4</f>
        <v>53030.30303</v>
      </c>
      <c r="CR4" s="78"/>
      <c r="CS4" s="37">
        <f t="shared" ref="CS4:CS12" si="29">CB4+CD4+CF4+CH4+CI4+CK4+CL4+CM4+CN4</f>
        <v>470000</v>
      </c>
      <c r="CT4" s="78"/>
      <c r="CU4" s="87" t="s">
        <v>184</v>
      </c>
      <c r="CV4" s="90"/>
      <c r="CW4" s="90"/>
      <c r="CX4" s="90"/>
      <c r="CY4" s="90"/>
      <c r="CZ4" s="90"/>
      <c r="DA4" s="90"/>
      <c r="DB4" s="90"/>
      <c r="DC4" s="90"/>
      <c r="DD4" s="90"/>
      <c r="DE4" s="90"/>
      <c r="DF4" s="90"/>
      <c r="DG4" s="97"/>
      <c r="DH4" s="90"/>
      <c r="DI4" s="90"/>
      <c r="DJ4" s="87" t="s">
        <v>185</v>
      </c>
      <c r="DK4" s="87">
        <v>30.0</v>
      </c>
      <c r="DL4" s="87">
        <f t="shared" ref="DL4:DL12" si="30">DK4/H4</f>
        <v>4.545454545</v>
      </c>
      <c r="DM4" s="87">
        <v>6000.0</v>
      </c>
      <c r="DN4" s="90"/>
      <c r="DO4" s="90"/>
      <c r="DP4" s="90"/>
      <c r="DQ4" s="90"/>
      <c r="DR4" s="90"/>
      <c r="DS4" s="90"/>
      <c r="DT4" s="95">
        <f>(DK4+DO4+DR4)/H4</f>
        <v>4.545454545</v>
      </c>
      <c r="DU4" s="90"/>
      <c r="DV4" s="90"/>
      <c r="DW4" s="90"/>
      <c r="DX4" s="37">
        <f t="shared" ref="DX4:DX6" si="31">DK4*DM4+DO4*DP4</f>
        <v>180000</v>
      </c>
      <c r="DY4" s="37">
        <f t="shared" ref="DY4:DY6" si="32">DX4/H4</f>
        <v>27272.72727</v>
      </c>
      <c r="DZ4" s="90"/>
      <c r="EA4" s="78"/>
      <c r="EB4" s="95">
        <f t="shared" ref="EB4:EB12" si="33">EA4/H4</f>
        <v>0</v>
      </c>
      <c r="EC4" s="78"/>
      <c r="ED4" s="78"/>
      <c r="EE4" s="78"/>
      <c r="EF4" s="95">
        <f t="shared" ref="EF4:EF12" si="34">EE4/H4</f>
        <v>0</v>
      </c>
      <c r="EG4" s="78"/>
      <c r="EH4" s="78"/>
      <c r="EI4" s="78"/>
      <c r="EJ4" s="95">
        <f t="shared" ref="EJ4:EJ12" si="35">EI4/H4</f>
        <v>0</v>
      </c>
      <c r="EK4" s="78"/>
      <c r="EL4" s="78"/>
      <c r="EM4" s="78"/>
      <c r="EN4" s="78"/>
      <c r="EO4" s="78"/>
      <c r="EP4" s="78"/>
      <c r="EQ4" s="78"/>
      <c r="ER4" s="37">
        <f t="shared" ref="ER4:ER7" si="36">EA4*EC4+EE4*EG4+EI4*EK4+EM4*EN4</f>
        <v>0</v>
      </c>
      <c r="ES4" s="37">
        <f t="shared" ref="ES4:ES12" si="37">ER4/H4</f>
        <v>0</v>
      </c>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37">
        <f t="shared" ref="FY4:FY7" si="38">EU4*EV4+FA4*FE4+FG4*FH4+FM4*FN4</f>
        <v>0</v>
      </c>
      <c r="FZ4" s="37">
        <f t="shared" ref="FZ4:FZ12" si="39">FY4/H4</f>
        <v>0</v>
      </c>
      <c r="GA4" s="78"/>
      <c r="GB4" s="78"/>
      <c r="GC4" s="78"/>
      <c r="GD4" s="78"/>
      <c r="GE4" s="78"/>
      <c r="GF4" s="78"/>
      <c r="GG4" s="78"/>
      <c r="GH4" s="78"/>
      <c r="GI4" s="78"/>
      <c r="GJ4" s="78"/>
      <c r="GK4" s="78"/>
      <c r="GL4" s="78"/>
      <c r="GM4" s="78"/>
      <c r="GN4" s="78"/>
      <c r="GO4" s="78"/>
      <c r="GP4" s="78"/>
      <c r="GQ4" s="78"/>
      <c r="GR4" s="98">
        <f t="shared" ref="GR4:GR12" si="40">GB4*GC4+GH4*GI4+GN4*GO4</f>
        <v>0</v>
      </c>
      <c r="GS4" s="98">
        <f t="shared" ref="GS4:GS12" si="41">GR4/H4</f>
        <v>0</v>
      </c>
      <c r="GT4" s="78"/>
      <c r="GU4" s="78"/>
      <c r="GV4" s="78"/>
      <c r="GW4" s="78"/>
      <c r="GX4" s="78"/>
      <c r="GY4" s="78"/>
      <c r="GZ4" s="78"/>
      <c r="HA4" s="78"/>
      <c r="HB4" s="78"/>
      <c r="HC4" s="78"/>
      <c r="HD4" s="78"/>
      <c r="HE4" s="78"/>
      <c r="HF4" s="78"/>
      <c r="HG4" s="90"/>
      <c r="HH4" s="90"/>
      <c r="HI4" s="99"/>
      <c r="HJ4" s="100"/>
      <c r="HK4" s="101"/>
      <c r="HL4" s="102"/>
    </row>
    <row r="5">
      <c r="A5" s="81" t="s">
        <v>186</v>
      </c>
      <c r="B5" s="82">
        <v>58.0</v>
      </c>
      <c r="C5" s="82">
        <v>112.0</v>
      </c>
      <c r="D5" s="82">
        <v>90.0</v>
      </c>
      <c r="E5" s="83">
        <v>1.0</v>
      </c>
      <c r="F5" s="83">
        <v>1.0</v>
      </c>
      <c r="G5" s="82" t="s">
        <v>176</v>
      </c>
      <c r="H5" s="84">
        <v>10.5</v>
      </c>
      <c r="I5" s="85">
        <f t="shared" si="1"/>
        <v>0.1166666667</v>
      </c>
      <c r="J5" s="103" t="str">
        <f t="shared" ref="J5:J12" si="42">DA5</f>
        <v/>
      </c>
      <c r="K5" s="87" t="s">
        <v>177</v>
      </c>
      <c r="L5" s="87" t="s">
        <v>178</v>
      </c>
      <c r="M5" s="37">
        <f t="shared" si="2"/>
        <v>1575500</v>
      </c>
      <c r="N5" s="37">
        <f t="shared" si="3"/>
        <v>150047.619</v>
      </c>
      <c r="O5" s="37">
        <f t="shared" si="4"/>
        <v>879950</v>
      </c>
      <c r="P5" s="37">
        <f t="shared" si="5"/>
        <v>83804.7619</v>
      </c>
      <c r="Q5" s="37">
        <f t="shared" si="6"/>
        <v>3566000</v>
      </c>
      <c r="R5" s="37">
        <f t="shared" si="7"/>
        <v>339619.0476</v>
      </c>
      <c r="S5" s="37">
        <f t="shared" si="8"/>
        <v>1990500</v>
      </c>
      <c r="T5" s="37">
        <f t="shared" si="9"/>
        <v>189571.4286</v>
      </c>
      <c r="U5" s="38">
        <f t="shared" si="10"/>
        <v>1110550</v>
      </c>
      <c r="V5" s="38">
        <f t="shared" si="11"/>
        <v>105766.6667</v>
      </c>
      <c r="W5" s="88">
        <f t="shared" si="12"/>
        <v>420</v>
      </c>
      <c r="X5" s="88">
        <v>3150000.0</v>
      </c>
      <c r="Y5" s="89">
        <v>45041.0</v>
      </c>
      <c r="Z5" s="90"/>
      <c r="AA5" s="91">
        <v>501.0</v>
      </c>
      <c r="AB5" s="104">
        <f t="shared" si="13"/>
        <v>81</v>
      </c>
      <c r="AC5" s="104">
        <f t="shared" si="14"/>
        <v>0</v>
      </c>
      <c r="AD5" s="94">
        <f t="shared" si="15"/>
        <v>0</v>
      </c>
      <c r="AE5" s="95">
        <f t="shared" si="16"/>
        <v>47.71428571</v>
      </c>
      <c r="AF5" s="95">
        <v>6000.0</v>
      </c>
      <c r="AG5" s="78"/>
      <c r="AH5" s="78"/>
      <c r="AI5" s="78"/>
      <c r="AJ5" s="37">
        <f t="shared" si="17"/>
        <v>3006000</v>
      </c>
      <c r="AK5" s="37">
        <f t="shared" si="18"/>
        <v>286285.7143</v>
      </c>
      <c r="AL5" s="95" t="s">
        <v>179</v>
      </c>
      <c r="AM5" s="95">
        <v>28.0</v>
      </c>
      <c r="AN5" s="95">
        <f t="shared" si="19"/>
        <v>2.666666667</v>
      </c>
      <c r="AO5" s="95">
        <v>25000.0</v>
      </c>
      <c r="AP5" s="95">
        <v>20.0</v>
      </c>
      <c r="AQ5" s="95">
        <v>28000.0</v>
      </c>
      <c r="AR5" s="95">
        <v>110000.0</v>
      </c>
      <c r="AS5" s="78"/>
      <c r="AT5" s="78"/>
      <c r="AU5" s="78"/>
      <c r="AV5" s="78"/>
      <c r="AW5" s="78"/>
      <c r="AX5" s="78"/>
      <c r="AY5" s="78"/>
      <c r="AZ5" s="78"/>
      <c r="BA5" s="78"/>
      <c r="BB5" s="37">
        <f t="shared" si="20"/>
        <v>810000</v>
      </c>
      <c r="BC5" s="37">
        <f t="shared" si="21"/>
        <v>77142.85714</v>
      </c>
      <c r="BD5" s="37">
        <f t="shared" si="22"/>
        <v>560000</v>
      </c>
      <c r="BE5" s="37">
        <f t="shared" si="23"/>
        <v>53333.33333</v>
      </c>
      <c r="BF5" s="95" t="s">
        <v>180</v>
      </c>
      <c r="BG5" s="95">
        <v>3.0</v>
      </c>
      <c r="BH5" s="95">
        <v>20000.0</v>
      </c>
      <c r="BI5" s="95" t="s">
        <v>181</v>
      </c>
      <c r="BJ5" s="95">
        <v>50.0</v>
      </c>
      <c r="BK5" s="95">
        <v>8500.0</v>
      </c>
      <c r="BL5" s="95" t="s">
        <v>182</v>
      </c>
      <c r="BM5" s="95">
        <v>150.0</v>
      </c>
      <c r="BN5" s="95">
        <v>2333.0</v>
      </c>
      <c r="BO5" s="95" t="s">
        <v>183</v>
      </c>
      <c r="BP5" s="95">
        <v>3.0</v>
      </c>
      <c r="BQ5" s="95">
        <v>15000.0</v>
      </c>
      <c r="BR5" s="37">
        <f t="shared" ref="BR5:BR12" si="43">BG5*BH5+BJ5*BK5+BM5*BN5+BP5*BQ5</f>
        <v>879950</v>
      </c>
      <c r="BS5" s="96"/>
      <c r="BT5" s="96"/>
      <c r="BU5" s="96"/>
      <c r="BV5" s="96"/>
      <c r="BW5" s="96"/>
      <c r="BX5" s="96"/>
      <c r="BY5" s="96"/>
      <c r="BZ5" s="96"/>
      <c r="CA5" s="96"/>
      <c r="CB5" s="95">
        <f>H5*24000</f>
        <v>252000</v>
      </c>
      <c r="CC5" s="95">
        <f t="shared" si="24"/>
        <v>24000</v>
      </c>
      <c r="CD5" s="95">
        <f>5*22000</f>
        <v>110000</v>
      </c>
      <c r="CE5" s="95">
        <f t="shared" si="25"/>
        <v>10476.19048</v>
      </c>
      <c r="CF5" s="95">
        <f>H5*17000</f>
        <v>178500</v>
      </c>
      <c r="CG5" s="95">
        <f t="shared" si="26"/>
        <v>17000</v>
      </c>
      <c r="CH5" s="78"/>
      <c r="CI5" s="78"/>
      <c r="CJ5" s="78"/>
      <c r="CK5" s="78"/>
      <c r="CL5" s="78"/>
      <c r="CM5" s="78"/>
      <c r="CN5" s="78"/>
      <c r="CO5" s="78"/>
      <c r="CP5" s="95">
        <f t="shared" si="27"/>
        <v>501000</v>
      </c>
      <c r="CQ5" s="95">
        <f t="shared" si="28"/>
        <v>47714.28571</v>
      </c>
      <c r="CR5" s="78"/>
      <c r="CS5" s="37">
        <f t="shared" si="29"/>
        <v>540500</v>
      </c>
      <c r="CT5" s="78"/>
      <c r="CU5" s="87" t="s">
        <v>184</v>
      </c>
      <c r="CV5" s="90"/>
      <c r="CW5" s="90"/>
      <c r="CX5" s="90"/>
      <c r="CY5" s="90"/>
      <c r="CZ5" s="90"/>
      <c r="DA5" s="90"/>
      <c r="DB5" s="90"/>
      <c r="DC5" s="90"/>
      <c r="DD5" s="90"/>
      <c r="DE5" s="90"/>
      <c r="DF5" s="90"/>
      <c r="DG5" s="97"/>
      <c r="DH5" s="90"/>
      <c r="DI5" s="90"/>
      <c r="DJ5" s="87" t="s">
        <v>187</v>
      </c>
      <c r="DK5" s="87">
        <v>3.0</v>
      </c>
      <c r="DL5" s="87">
        <f t="shared" si="30"/>
        <v>0.2857142857</v>
      </c>
      <c r="DM5" s="87">
        <v>10000.0</v>
      </c>
      <c r="DN5" s="87" t="s">
        <v>188</v>
      </c>
      <c r="DO5" s="87">
        <v>3.0</v>
      </c>
      <c r="DP5" s="87">
        <v>65000.0</v>
      </c>
      <c r="DQ5" s="90"/>
      <c r="DR5" s="90"/>
      <c r="DS5" s="90"/>
      <c r="DT5" s="78"/>
      <c r="DU5" s="90"/>
      <c r="DV5" s="90"/>
      <c r="DW5" s="90"/>
      <c r="DX5" s="37">
        <f t="shared" si="31"/>
        <v>225000</v>
      </c>
      <c r="DY5" s="37">
        <f t="shared" si="32"/>
        <v>21428.57143</v>
      </c>
      <c r="DZ5" s="90"/>
      <c r="EA5" s="90"/>
      <c r="EB5" s="95">
        <f t="shared" si="33"/>
        <v>0</v>
      </c>
      <c r="EC5" s="90"/>
      <c r="ED5" s="78"/>
      <c r="EE5" s="78"/>
      <c r="EF5" s="95">
        <f t="shared" si="34"/>
        <v>0</v>
      </c>
      <c r="EG5" s="78"/>
      <c r="EH5" s="78"/>
      <c r="EI5" s="78"/>
      <c r="EJ5" s="95">
        <f t="shared" si="35"/>
        <v>0</v>
      </c>
      <c r="EK5" s="78"/>
      <c r="EL5" s="78"/>
      <c r="EM5" s="78"/>
      <c r="EN5" s="78"/>
      <c r="EO5" s="78"/>
      <c r="EP5" s="78"/>
      <c r="EQ5" s="78"/>
      <c r="ER5" s="37">
        <f t="shared" si="36"/>
        <v>0</v>
      </c>
      <c r="ES5" s="37">
        <f t="shared" si="37"/>
        <v>0</v>
      </c>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37">
        <f t="shared" si="38"/>
        <v>0</v>
      </c>
      <c r="FZ5" s="37">
        <f t="shared" si="39"/>
        <v>0</v>
      </c>
      <c r="GA5" s="78"/>
      <c r="GB5" s="78"/>
      <c r="GC5" s="78"/>
      <c r="GD5" s="78"/>
      <c r="GE5" s="78"/>
      <c r="GF5" s="78"/>
      <c r="GG5" s="78"/>
      <c r="GH5" s="78"/>
      <c r="GI5" s="78"/>
      <c r="GJ5" s="78"/>
      <c r="GK5" s="78"/>
      <c r="GL5" s="78"/>
      <c r="GM5" s="78"/>
      <c r="GN5" s="78"/>
      <c r="GO5" s="78"/>
      <c r="GP5" s="78"/>
      <c r="GQ5" s="78"/>
      <c r="GR5" s="98">
        <f t="shared" si="40"/>
        <v>0</v>
      </c>
      <c r="GS5" s="98">
        <f t="shared" si="41"/>
        <v>0</v>
      </c>
      <c r="GT5" s="78"/>
      <c r="GU5" s="78"/>
      <c r="GV5" s="78"/>
      <c r="GW5" s="78"/>
      <c r="GX5" s="78"/>
      <c r="GY5" s="78"/>
      <c r="GZ5" s="78"/>
      <c r="HA5" s="78"/>
      <c r="HB5" s="78"/>
      <c r="HC5" s="78"/>
      <c r="HD5" s="78"/>
      <c r="HE5" s="78"/>
      <c r="HF5" s="78"/>
      <c r="HG5" s="90"/>
      <c r="HH5" s="90"/>
      <c r="HI5" s="99"/>
      <c r="HJ5" s="100"/>
      <c r="HK5" s="101"/>
      <c r="HL5" s="102"/>
    </row>
    <row r="6">
      <c r="A6" s="81" t="s">
        <v>189</v>
      </c>
      <c r="B6" s="82">
        <v>65.0</v>
      </c>
      <c r="C6" s="82">
        <v>25.0</v>
      </c>
      <c r="D6" s="82">
        <v>20.0</v>
      </c>
      <c r="E6" s="83">
        <v>1.0</v>
      </c>
      <c r="F6" s="83">
        <v>1.0</v>
      </c>
      <c r="G6" s="82" t="s">
        <v>176</v>
      </c>
      <c r="H6" s="84">
        <v>4.8</v>
      </c>
      <c r="I6" s="85">
        <f t="shared" si="1"/>
        <v>0.24</v>
      </c>
      <c r="J6" s="103" t="str">
        <f t="shared" si="42"/>
        <v/>
      </c>
      <c r="K6" s="87" t="s">
        <v>177</v>
      </c>
      <c r="L6" s="87" t="s">
        <v>178</v>
      </c>
      <c r="M6" s="37">
        <f t="shared" si="2"/>
        <v>569000</v>
      </c>
      <c r="N6" s="37">
        <f t="shared" si="3"/>
        <v>118541.6667</v>
      </c>
      <c r="O6" s="37">
        <f t="shared" si="4"/>
        <v>799950</v>
      </c>
      <c r="P6" s="37">
        <f t="shared" si="5"/>
        <v>166656.25</v>
      </c>
      <c r="Q6" s="37">
        <f t="shared" si="6"/>
        <v>1710000</v>
      </c>
      <c r="R6" s="37">
        <f t="shared" si="7"/>
        <v>356250</v>
      </c>
      <c r="S6" s="37">
        <f t="shared" si="8"/>
        <v>1141000</v>
      </c>
      <c r="T6" s="37">
        <f t="shared" si="9"/>
        <v>237708.3333</v>
      </c>
      <c r="U6" s="38">
        <f t="shared" si="10"/>
        <v>341050</v>
      </c>
      <c r="V6" s="38">
        <f t="shared" si="11"/>
        <v>71052.08333</v>
      </c>
      <c r="W6" s="88">
        <f t="shared" si="12"/>
        <v>192</v>
      </c>
      <c r="X6" s="88">
        <v>1440000.0</v>
      </c>
      <c r="Y6" s="89">
        <v>45041.0</v>
      </c>
      <c r="Z6" s="78"/>
      <c r="AA6" s="91">
        <v>285.0</v>
      </c>
      <c r="AB6" s="92">
        <f t="shared" si="13"/>
        <v>93</v>
      </c>
      <c r="AC6" s="93">
        <f t="shared" si="14"/>
        <v>0</v>
      </c>
      <c r="AD6" s="94">
        <f t="shared" si="15"/>
        <v>0</v>
      </c>
      <c r="AE6" s="95">
        <f t="shared" si="16"/>
        <v>59.375</v>
      </c>
      <c r="AF6" s="95">
        <v>6000.0</v>
      </c>
      <c r="AG6" s="78"/>
      <c r="AH6" s="78"/>
      <c r="AI6" s="78"/>
      <c r="AJ6" s="37">
        <f t="shared" si="17"/>
        <v>1710000</v>
      </c>
      <c r="AK6" s="37">
        <f t="shared" si="18"/>
        <v>356250</v>
      </c>
      <c r="AL6" s="95" t="s">
        <v>179</v>
      </c>
      <c r="AM6" s="95">
        <v>10.0</v>
      </c>
      <c r="AN6" s="95">
        <f t="shared" si="19"/>
        <v>2.083333333</v>
      </c>
      <c r="AO6" s="95">
        <v>30000.0</v>
      </c>
      <c r="AP6" s="78"/>
      <c r="AQ6" s="78"/>
      <c r="AR6" s="78"/>
      <c r="AS6" s="78"/>
      <c r="AT6" s="78"/>
      <c r="AU6" s="78"/>
      <c r="AV6" s="78"/>
      <c r="AW6" s="78"/>
      <c r="AX6" s="78"/>
      <c r="AY6" s="78"/>
      <c r="AZ6" s="78"/>
      <c r="BA6" s="78"/>
      <c r="BB6" s="37">
        <f t="shared" si="20"/>
        <v>300000</v>
      </c>
      <c r="BC6" s="37">
        <f t="shared" si="21"/>
        <v>62500</v>
      </c>
      <c r="BD6" s="37">
        <f t="shared" si="22"/>
        <v>0</v>
      </c>
      <c r="BE6" s="37">
        <f t="shared" si="23"/>
        <v>0</v>
      </c>
      <c r="BF6" s="95" t="s">
        <v>190</v>
      </c>
      <c r="BG6" s="95">
        <v>150.0</v>
      </c>
      <c r="BH6" s="95">
        <v>5333.0</v>
      </c>
      <c r="BI6" s="78"/>
      <c r="BJ6" s="78"/>
      <c r="BK6" s="78"/>
      <c r="BL6" s="78"/>
      <c r="BM6" s="78"/>
      <c r="BN6" s="78"/>
      <c r="BO6" s="78"/>
      <c r="BP6" s="78"/>
      <c r="BQ6" s="78"/>
      <c r="BR6" s="37">
        <f t="shared" si="43"/>
        <v>799950</v>
      </c>
      <c r="BS6" s="96"/>
      <c r="BT6" s="96"/>
      <c r="BU6" s="96"/>
      <c r="BV6" s="96"/>
      <c r="BW6" s="96"/>
      <c r="BX6" s="96"/>
      <c r="BY6" s="96"/>
      <c r="BZ6" s="96"/>
      <c r="CA6" s="96"/>
      <c r="CB6" s="95">
        <f>5*25000</f>
        <v>125000</v>
      </c>
      <c r="CC6" s="95">
        <f t="shared" si="24"/>
        <v>26041.66667</v>
      </c>
      <c r="CD6" s="95">
        <f t="shared" ref="CD6:CD7" si="44">2*22000</f>
        <v>44000</v>
      </c>
      <c r="CE6" s="95">
        <f t="shared" si="25"/>
        <v>9166.666667</v>
      </c>
      <c r="CF6" s="78"/>
      <c r="CG6" s="78"/>
      <c r="CH6" s="78"/>
      <c r="CI6" s="78"/>
      <c r="CJ6" s="78"/>
      <c r="CK6" s="78"/>
      <c r="CL6" s="78"/>
      <c r="CM6" s="78"/>
      <c r="CN6" s="78"/>
      <c r="CO6" s="78"/>
      <c r="CP6" s="95">
        <f t="shared" si="27"/>
        <v>285000</v>
      </c>
      <c r="CQ6" s="95">
        <f t="shared" si="28"/>
        <v>59375</v>
      </c>
      <c r="CR6" s="78"/>
      <c r="CS6" s="37">
        <f t="shared" si="29"/>
        <v>169000</v>
      </c>
      <c r="CT6" s="78"/>
      <c r="CU6" s="87" t="s">
        <v>184</v>
      </c>
      <c r="CV6" s="78"/>
      <c r="CW6" s="78"/>
      <c r="CX6" s="78"/>
      <c r="CY6" s="78"/>
      <c r="CZ6" s="78"/>
      <c r="DA6" s="78"/>
      <c r="DB6" s="78"/>
      <c r="DC6" s="78"/>
      <c r="DD6" s="78"/>
      <c r="DE6" s="78"/>
      <c r="DF6" s="78"/>
      <c r="DG6" s="105"/>
      <c r="DH6" s="78"/>
      <c r="DI6" s="78"/>
      <c r="DJ6" s="95" t="s">
        <v>191</v>
      </c>
      <c r="DK6" s="95">
        <v>10.0</v>
      </c>
      <c r="DL6" s="87">
        <f t="shared" si="30"/>
        <v>2.083333333</v>
      </c>
      <c r="DM6" s="87">
        <v>10000.0</v>
      </c>
      <c r="DN6" s="78"/>
      <c r="DO6" s="78"/>
      <c r="DP6" s="78"/>
      <c r="DQ6" s="78"/>
      <c r="DR6" s="78"/>
      <c r="DS6" s="78"/>
      <c r="DT6" s="78"/>
      <c r="DU6" s="78"/>
      <c r="DV6" s="78"/>
      <c r="DW6" s="78"/>
      <c r="DX6" s="37">
        <f t="shared" si="31"/>
        <v>100000</v>
      </c>
      <c r="DY6" s="37">
        <f t="shared" si="32"/>
        <v>20833.33333</v>
      </c>
      <c r="DZ6" s="90"/>
      <c r="EA6" s="78"/>
      <c r="EB6" s="95">
        <f t="shared" si="33"/>
        <v>0</v>
      </c>
      <c r="EC6" s="78"/>
      <c r="ED6" s="78"/>
      <c r="EE6" s="78"/>
      <c r="EF6" s="95">
        <f t="shared" si="34"/>
        <v>0</v>
      </c>
      <c r="EG6" s="78"/>
      <c r="EH6" s="78"/>
      <c r="EI6" s="78"/>
      <c r="EJ6" s="95">
        <f t="shared" si="35"/>
        <v>0</v>
      </c>
      <c r="EK6" s="78"/>
      <c r="EL6" s="78"/>
      <c r="EM6" s="78"/>
      <c r="EN6" s="78"/>
      <c r="EO6" s="78"/>
      <c r="EP6" s="78"/>
      <c r="EQ6" s="90"/>
      <c r="ER6" s="37">
        <f t="shared" si="36"/>
        <v>0</v>
      </c>
      <c r="ES6" s="37">
        <f t="shared" si="37"/>
        <v>0</v>
      </c>
      <c r="ET6" s="90"/>
      <c r="EU6" s="90"/>
      <c r="EV6" s="90"/>
      <c r="EW6" s="90"/>
      <c r="EX6" s="90"/>
      <c r="EY6" s="90"/>
      <c r="EZ6" s="90"/>
      <c r="FA6" s="78"/>
      <c r="FB6" s="78"/>
      <c r="FC6" s="78"/>
      <c r="FD6" s="78"/>
      <c r="FE6" s="78"/>
      <c r="FF6" s="78"/>
      <c r="FG6" s="78"/>
      <c r="FH6" s="78"/>
      <c r="FI6" s="78"/>
      <c r="FJ6" s="78"/>
      <c r="FK6" s="78"/>
      <c r="FL6" s="78"/>
      <c r="FM6" s="78"/>
      <c r="FN6" s="78"/>
      <c r="FO6" s="78"/>
      <c r="FP6" s="78"/>
      <c r="FQ6" s="78"/>
      <c r="FR6" s="78"/>
      <c r="FS6" s="78"/>
      <c r="FT6" s="78"/>
      <c r="FU6" s="78"/>
      <c r="FV6" s="78"/>
      <c r="FW6" s="78"/>
      <c r="FX6" s="78"/>
      <c r="FY6" s="37">
        <f t="shared" si="38"/>
        <v>0</v>
      </c>
      <c r="FZ6" s="37">
        <f t="shared" si="39"/>
        <v>0</v>
      </c>
      <c r="GA6" s="78"/>
      <c r="GB6" s="78"/>
      <c r="GC6" s="78"/>
      <c r="GD6" s="78"/>
      <c r="GE6" s="78"/>
      <c r="GF6" s="78"/>
      <c r="GG6" s="78"/>
      <c r="GH6" s="78"/>
      <c r="GI6" s="78"/>
      <c r="GJ6" s="78"/>
      <c r="GK6" s="78"/>
      <c r="GL6" s="78"/>
      <c r="GM6" s="78"/>
      <c r="GN6" s="78"/>
      <c r="GO6" s="78"/>
      <c r="GP6" s="78"/>
      <c r="GQ6" s="78"/>
      <c r="GR6" s="98">
        <f t="shared" si="40"/>
        <v>0</v>
      </c>
      <c r="GS6" s="98">
        <f t="shared" si="41"/>
        <v>0</v>
      </c>
      <c r="GT6" s="78"/>
      <c r="GU6" s="78"/>
      <c r="GV6" s="78"/>
      <c r="GW6" s="78"/>
      <c r="GX6" s="78"/>
      <c r="GY6" s="78"/>
      <c r="GZ6" s="78"/>
      <c r="HA6" s="78"/>
      <c r="HB6" s="78"/>
      <c r="HC6" s="78"/>
      <c r="HD6" s="78"/>
      <c r="HE6" s="78"/>
      <c r="HF6" s="78"/>
      <c r="HG6" s="78"/>
      <c r="HH6" s="78"/>
      <c r="HI6" s="106"/>
      <c r="HJ6" s="100"/>
      <c r="HK6" s="101"/>
      <c r="HL6" s="102"/>
    </row>
    <row r="7">
      <c r="A7" s="81" t="s">
        <v>192</v>
      </c>
      <c r="B7" s="82">
        <v>51.0</v>
      </c>
      <c r="C7" s="82">
        <v>25.0</v>
      </c>
      <c r="D7" s="82">
        <v>18.0</v>
      </c>
      <c r="E7" s="83">
        <v>1.0</v>
      </c>
      <c r="F7" s="83">
        <v>1.0</v>
      </c>
      <c r="G7" s="82" t="s">
        <v>176</v>
      </c>
      <c r="H7" s="84">
        <v>4.5</v>
      </c>
      <c r="I7" s="85">
        <f t="shared" si="1"/>
        <v>0.25</v>
      </c>
      <c r="J7" s="103" t="str">
        <f t="shared" si="42"/>
        <v/>
      </c>
      <c r="K7" s="87" t="s">
        <v>177</v>
      </c>
      <c r="L7" s="87" t="s">
        <v>178</v>
      </c>
      <c r="M7" s="37">
        <f t="shared" si="2"/>
        <v>652000</v>
      </c>
      <c r="N7" s="37">
        <f t="shared" si="3"/>
        <v>144888.8889</v>
      </c>
      <c r="O7" s="37">
        <f t="shared" si="4"/>
        <v>600000</v>
      </c>
      <c r="P7" s="37">
        <f t="shared" si="5"/>
        <v>133333.3333</v>
      </c>
      <c r="Q7" s="37">
        <f t="shared" si="6"/>
        <v>1350000</v>
      </c>
      <c r="R7" s="37">
        <f t="shared" si="7"/>
        <v>300000</v>
      </c>
      <c r="S7" s="37">
        <f t="shared" si="8"/>
        <v>698000</v>
      </c>
      <c r="T7" s="37">
        <f t="shared" si="9"/>
        <v>155111.1111</v>
      </c>
      <c r="U7" s="38">
        <f t="shared" si="10"/>
        <v>98000</v>
      </c>
      <c r="V7" s="38">
        <f t="shared" si="11"/>
        <v>21777.77778</v>
      </c>
      <c r="W7" s="88">
        <f t="shared" si="12"/>
        <v>180</v>
      </c>
      <c r="X7" s="88">
        <v>1350000.0</v>
      </c>
      <c r="Y7" s="89">
        <v>45041.0</v>
      </c>
      <c r="Z7" s="78"/>
      <c r="AA7" s="91">
        <v>225.0</v>
      </c>
      <c r="AB7" s="93">
        <f t="shared" si="13"/>
        <v>45</v>
      </c>
      <c r="AC7" s="93">
        <f t="shared" si="14"/>
        <v>0</v>
      </c>
      <c r="AD7" s="95">
        <f t="shared" si="15"/>
        <v>0</v>
      </c>
      <c r="AE7" s="95">
        <f t="shared" si="16"/>
        <v>50</v>
      </c>
      <c r="AF7" s="95">
        <v>6000.0</v>
      </c>
      <c r="AG7" s="78"/>
      <c r="AH7" s="78"/>
      <c r="AI7" s="78"/>
      <c r="AJ7" s="37">
        <f t="shared" si="17"/>
        <v>1350000</v>
      </c>
      <c r="AK7" s="37">
        <f t="shared" si="18"/>
        <v>300000</v>
      </c>
      <c r="AL7" s="95" t="s">
        <v>179</v>
      </c>
      <c r="AM7" s="95">
        <v>16.0</v>
      </c>
      <c r="AN7" s="95">
        <f t="shared" si="19"/>
        <v>3.555555556</v>
      </c>
      <c r="AO7" s="95">
        <v>25000.0</v>
      </c>
      <c r="AP7" s="78"/>
      <c r="AQ7" s="78"/>
      <c r="AR7" s="95">
        <v>100000.0</v>
      </c>
      <c r="AS7" s="78"/>
      <c r="AT7" s="78"/>
      <c r="AU7" s="78"/>
      <c r="AV7" s="78"/>
      <c r="AW7" s="78"/>
      <c r="AX7" s="78"/>
      <c r="AY7" s="78"/>
      <c r="AZ7" s="78"/>
      <c r="BA7" s="78"/>
      <c r="BB7" s="37">
        <f t="shared" si="20"/>
        <v>500000</v>
      </c>
      <c r="BC7" s="37">
        <f t="shared" si="21"/>
        <v>111111.1111</v>
      </c>
      <c r="BD7" s="37">
        <f t="shared" si="22"/>
        <v>0</v>
      </c>
      <c r="BE7" s="37">
        <f t="shared" si="23"/>
        <v>0</v>
      </c>
      <c r="BF7" s="95" t="s">
        <v>190</v>
      </c>
      <c r="BG7" s="95">
        <v>150.0</v>
      </c>
      <c r="BH7" s="95">
        <v>4000.0</v>
      </c>
      <c r="BI7" s="78"/>
      <c r="BJ7" s="78"/>
      <c r="BK7" s="78"/>
      <c r="BL7" s="78"/>
      <c r="BM7" s="78"/>
      <c r="BN7" s="78"/>
      <c r="BO7" s="78"/>
      <c r="BP7" s="78"/>
      <c r="BQ7" s="78"/>
      <c r="BR7" s="37">
        <f t="shared" si="43"/>
        <v>600000</v>
      </c>
      <c r="BS7" s="96"/>
      <c r="BT7" s="96"/>
      <c r="BU7" s="96"/>
      <c r="BV7" s="96"/>
      <c r="BW7" s="96"/>
      <c r="BX7" s="96"/>
      <c r="BY7" s="96"/>
      <c r="BZ7" s="96"/>
      <c r="CA7" s="96"/>
      <c r="CB7" s="95">
        <f>H7*24000</f>
        <v>108000</v>
      </c>
      <c r="CC7" s="95">
        <f t="shared" si="24"/>
        <v>24000</v>
      </c>
      <c r="CD7" s="95">
        <f t="shared" si="44"/>
        <v>44000</v>
      </c>
      <c r="CE7" s="95">
        <f t="shared" si="25"/>
        <v>9777.777778</v>
      </c>
      <c r="CF7" s="78"/>
      <c r="CG7" s="78"/>
      <c r="CH7" s="78"/>
      <c r="CI7" s="78"/>
      <c r="CJ7" s="78"/>
      <c r="CK7" s="78"/>
      <c r="CL7" s="78"/>
      <c r="CM7" s="78"/>
      <c r="CN7" s="78"/>
      <c r="CO7" s="78"/>
      <c r="CP7" s="95">
        <f t="shared" si="27"/>
        <v>225000</v>
      </c>
      <c r="CQ7" s="95">
        <f t="shared" si="28"/>
        <v>50000</v>
      </c>
      <c r="CR7" s="78"/>
      <c r="CS7" s="37">
        <f t="shared" si="29"/>
        <v>152000</v>
      </c>
      <c r="CT7" s="78"/>
      <c r="CU7" s="87" t="s">
        <v>184</v>
      </c>
      <c r="CV7" s="78"/>
      <c r="CW7" s="78"/>
      <c r="CX7" s="78"/>
      <c r="CY7" s="78"/>
      <c r="CZ7" s="78"/>
      <c r="DA7" s="78"/>
      <c r="DB7" s="78"/>
      <c r="DC7" s="78"/>
      <c r="DD7" s="78"/>
      <c r="DE7" s="78"/>
      <c r="DF7" s="78"/>
      <c r="DG7" s="105"/>
      <c r="DH7" s="78"/>
      <c r="DI7" s="78"/>
      <c r="DJ7" s="78"/>
      <c r="DK7" s="78"/>
      <c r="DL7" s="87">
        <f t="shared" si="30"/>
        <v>0</v>
      </c>
      <c r="DM7" s="78"/>
      <c r="DN7" s="78"/>
      <c r="DO7" s="78"/>
      <c r="DP7" s="78"/>
      <c r="DQ7" s="78"/>
      <c r="DR7" s="78"/>
      <c r="DS7" s="78"/>
      <c r="DT7" s="78"/>
      <c r="DU7" s="78"/>
      <c r="DV7" s="78"/>
      <c r="DW7" s="78"/>
      <c r="DX7" s="96"/>
      <c r="DY7" s="96"/>
      <c r="DZ7" s="90"/>
      <c r="EA7" s="78"/>
      <c r="EB7" s="95">
        <f t="shared" si="33"/>
        <v>0</v>
      </c>
      <c r="EC7" s="78"/>
      <c r="ED7" s="78"/>
      <c r="EE7" s="78"/>
      <c r="EF7" s="95">
        <f t="shared" si="34"/>
        <v>0</v>
      </c>
      <c r="EG7" s="78"/>
      <c r="EH7" s="78"/>
      <c r="EI7" s="78"/>
      <c r="EJ7" s="95">
        <f t="shared" si="35"/>
        <v>0</v>
      </c>
      <c r="EK7" s="78"/>
      <c r="EL7" s="78"/>
      <c r="EM7" s="78"/>
      <c r="EN7" s="78"/>
      <c r="EO7" s="78"/>
      <c r="EP7" s="78"/>
      <c r="EQ7" s="78"/>
      <c r="ER7" s="37">
        <f t="shared" si="36"/>
        <v>0</v>
      </c>
      <c r="ES7" s="37">
        <f t="shared" si="37"/>
        <v>0</v>
      </c>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37">
        <f t="shared" si="38"/>
        <v>0</v>
      </c>
      <c r="FZ7" s="37">
        <f t="shared" si="39"/>
        <v>0</v>
      </c>
      <c r="GA7" s="78"/>
      <c r="GB7" s="78"/>
      <c r="GC7" s="78"/>
      <c r="GD7" s="78"/>
      <c r="GE7" s="78"/>
      <c r="GF7" s="78"/>
      <c r="GG7" s="78"/>
      <c r="GH7" s="78"/>
      <c r="GI7" s="78"/>
      <c r="GJ7" s="78"/>
      <c r="GK7" s="78"/>
      <c r="GL7" s="78"/>
      <c r="GM7" s="78"/>
      <c r="GN7" s="78"/>
      <c r="GO7" s="78"/>
      <c r="GP7" s="78"/>
      <c r="GQ7" s="78"/>
      <c r="GR7" s="98">
        <f t="shared" si="40"/>
        <v>0</v>
      </c>
      <c r="GS7" s="98">
        <f t="shared" si="41"/>
        <v>0</v>
      </c>
      <c r="GT7" s="78"/>
      <c r="GU7" s="78"/>
      <c r="GV7" s="78"/>
      <c r="GW7" s="78"/>
      <c r="GX7" s="78"/>
      <c r="GY7" s="78"/>
      <c r="GZ7" s="78"/>
      <c r="HA7" s="78"/>
      <c r="HB7" s="78"/>
      <c r="HC7" s="78"/>
      <c r="HD7" s="78"/>
      <c r="HE7" s="78"/>
      <c r="HF7" s="78"/>
      <c r="HG7" s="78"/>
      <c r="HH7" s="78"/>
      <c r="HI7" s="106"/>
      <c r="HJ7" s="100"/>
      <c r="HK7" s="101"/>
      <c r="HL7" s="102"/>
    </row>
    <row r="8">
      <c r="A8" s="81" t="s">
        <v>193</v>
      </c>
      <c r="B8" s="82">
        <v>48.0</v>
      </c>
      <c r="C8" s="82">
        <v>50.0</v>
      </c>
      <c r="D8" s="82">
        <v>30.0</v>
      </c>
      <c r="E8" s="83">
        <v>1.0</v>
      </c>
      <c r="F8" s="83">
        <v>1.0</v>
      </c>
      <c r="G8" s="82" t="s">
        <v>176</v>
      </c>
      <c r="H8" s="84">
        <v>3.6</v>
      </c>
      <c r="I8" s="85">
        <f t="shared" si="1"/>
        <v>0.12</v>
      </c>
      <c r="J8" s="103" t="str">
        <f t="shared" si="42"/>
        <v/>
      </c>
      <c r="K8" s="87" t="s">
        <v>177</v>
      </c>
      <c r="L8" s="87" t="s">
        <v>178</v>
      </c>
      <c r="M8" s="37">
        <f t="shared" si="2"/>
        <v>527400</v>
      </c>
      <c r="N8" s="37">
        <f t="shared" si="3"/>
        <v>146500</v>
      </c>
      <c r="O8" s="37">
        <f t="shared" si="4"/>
        <v>450000</v>
      </c>
      <c r="P8" s="37">
        <f t="shared" si="5"/>
        <v>125000</v>
      </c>
      <c r="Q8" s="37">
        <f t="shared" si="6"/>
        <v>990000</v>
      </c>
      <c r="R8" s="37">
        <f t="shared" si="7"/>
        <v>275000</v>
      </c>
      <c r="S8" s="37">
        <f t="shared" si="8"/>
        <v>462600</v>
      </c>
      <c r="T8" s="37">
        <f t="shared" si="9"/>
        <v>128500</v>
      </c>
      <c r="U8" s="38">
        <f t="shared" si="10"/>
        <v>12600</v>
      </c>
      <c r="V8" s="38">
        <f t="shared" si="11"/>
        <v>3500</v>
      </c>
      <c r="W8" s="88">
        <f t="shared" si="12"/>
        <v>144</v>
      </c>
      <c r="X8" s="88">
        <v>108000.0</v>
      </c>
      <c r="Y8" s="89">
        <v>45041.0</v>
      </c>
      <c r="Z8" s="78"/>
      <c r="AA8" s="91">
        <v>165.0</v>
      </c>
      <c r="AB8" s="104">
        <f t="shared" si="13"/>
        <v>21</v>
      </c>
      <c r="AC8" s="104">
        <f t="shared" si="14"/>
        <v>0</v>
      </c>
      <c r="AD8" s="94">
        <f t="shared" si="15"/>
        <v>0</v>
      </c>
      <c r="AE8" s="95">
        <f t="shared" si="16"/>
        <v>45.83333333</v>
      </c>
      <c r="AF8" s="95">
        <v>6000.0</v>
      </c>
      <c r="AG8" s="78"/>
      <c r="AH8" s="78"/>
      <c r="AI8" s="78"/>
      <c r="AJ8" s="37">
        <f t="shared" si="17"/>
        <v>990000</v>
      </c>
      <c r="AK8" s="37">
        <f t="shared" si="18"/>
        <v>275000</v>
      </c>
      <c r="AL8" s="95" t="s">
        <v>179</v>
      </c>
      <c r="AM8" s="95">
        <v>13.0</v>
      </c>
      <c r="AN8" s="95">
        <f t="shared" si="19"/>
        <v>3.611111111</v>
      </c>
      <c r="AO8" s="95">
        <v>25000.0</v>
      </c>
      <c r="AP8" s="95">
        <v>0.0</v>
      </c>
      <c r="AQ8" s="78"/>
      <c r="AR8" s="95">
        <v>0.0</v>
      </c>
      <c r="AS8" s="78"/>
      <c r="AT8" s="78"/>
      <c r="AU8" s="78"/>
      <c r="AV8" s="78"/>
      <c r="AW8" s="78"/>
      <c r="AX8" s="78"/>
      <c r="AY8" s="78"/>
      <c r="AZ8" s="78"/>
      <c r="BA8" s="78"/>
      <c r="BB8" s="37">
        <f t="shared" si="20"/>
        <v>325000</v>
      </c>
      <c r="BC8" s="37">
        <f t="shared" si="21"/>
        <v>90277.77778</v>
      </c>
      <c r="BD8" s="37">
        <f t="shared" si="22"/>
        <v>0</v>
      </c>
      <c r="BE8" s="37">
        <f t="shared" si="23"/>
        <v>0</v>
      </c>
      <c r="BF8" s="95" t="s">
        <v>190</v>
      </c>
      <c r="BG8" s="95">
        <v>100.0</v>
      </c>
      <c r="BH8" s="95">
        <v>4500.0</v>
      </c>
      <c r="BI8" s="78"/>
      <c r="BJ8" s="78"/>
      <c r="BK8" s="78"/>
      <c r="BL8" s="78"/>
      <c r="BM8" s="78"/>
      <c r="BN8" s="78"/>
      <c r="BO8" s="78"/>
      <c r="BP8" s="78"/>
      <c r="BQ8" s="78"/>
      <c r="BR8" s="37">
        <f t="shared" si="43"/>
        <v>450000</v>
      </c>
      <c r="BS8" s="96"/>
      <c r="BT8" s="96"/>
      <c r="BU8" s="96"/>
      <c r="BV8" s="96"/>
      <c r="BW8" s="96"/>
      <c r="BX8" s="96"/>
      <c r="BY8" s="96"/>
      <c r="BZ8" s="96"/>
      <c r="CA8" s="96"/>
      <c r="CB8" s="95">
        <f t="shared" ref="CB8:CB9" si="45">24000*H8</f>
        <v>86400</v>
      </c>
      <c r="CC8" s="95">
        <f t="shared" si="24"/>
        <v>24000</v>
      </c>
      <c r="CD8" s="95">
        <f>22000*2</f>
        <v>44000</v>
      </c>
      <c r="CE8" s="95">
        <f t="shared" si="25"/>
        <v>12222.22222</v>
      </c>
      <c r="CF8" s="95">
        <f>20000*H8</f>
        <v>72000</v>
      </c>
      <c r="CG8" s="95">
        <f>CF8/H8</f>
        <v>20000</v>
      </c>
      <c r="CH8" s="78"/>
      <c r="CI8" s="78"/>
      <c r="CJ8" s="78"/>
      <c r="CK8" s="78"/>
      <c r="CL8" s="78"/>
      <c r="CM8" s="78"/>
      <c r="CN8" s="78"/>
      <c r="CO8" s="78"/>
      <c r="CP8" s="95">
        <f t="shared" si="27"/>
        <v>165000</v>
      </c>
      <c r="CQ8" s="95">
        <f t="shared" si="28"/>
        <v>45833.33333</v>
      </c>
      <c r="CR8" s="78"/>
      <c r="CS8" s="37">
        <f t="shared" si="29"/>
        <v>202400</v>
      </c>
      <c r="CT8" s="78"/>
      <c r="CU8" s="87" t="s">
        <v>184</v>
      </c>
      <c r="CV8" s="78"/>
      <c r="CW8" s="78"/>
      <c r="CX8" s="78"/>
      <c r="CY8" s="78"/>
      <c r="CZ8" s="95">
        <v>100.0</v>
      </c>
      <c r="DA8" s="78"/>
      <c r="DB8" s="78"/>
      <c r="DC8" s="78"/>
      <c r="DD8" s="78"/>
      <c r="DE8" s="78"/>
      <c r="DF8" s="78"/>
      <c r="DG8" s="105"/>
      <c r="DH8" s="78"/>
      <c r="DI8" s="78"/>
      <c r="DJ8" s="78"/>
      <c r="DK8" s="78"/>
      <c r="DL8" s="87">
        <f t="shared" si="30"/>
        <v>0</v>
      </c>
      <c r="DM8" s="78"/>
      <c r="DN8" s="78"/>
      <c r="DO8" s="78"/>
      <c r="DP8" s="78"/>
      <c r="DQ8" s="78"/>
      <c r="DR8" s="78"/>
      <c r="DS8" s="78"/>
      <c r="DT8" s="78"/>
      <c r="DU8" s="78"/>
      <c r="DV8" s="78"/>
      <c r="DW8" s="78"/>
      <c r="DX8" s="96"/>
      <c r="DY8" s="96"/>
      <c r="DZ8" s="90"/>
      <c r="EA8" s="78"/>
      <c r="EB8" s="95">
        <f t="shared" si="33"/>
        <v>0</v>
      </c>
      <c r="EC8" s="78"/>
      <c r="ED8" s="78"/>
      <c r="EE8" s="78"/>
      <c r="EF8" s="95">
        <f t="shared" si="34"/>
        <v>0</v>
      </c>
      <c r="EG8" s="78"/>
      <c r="EH8" s="78"/>
      <c r="EI8" s="78"/>
      <c r="EJ8" s="95">
        <f t="shared" si="35"/>
        <v>0</v>
      </c>
      <c r="EK8" s="78"/>
      <c r="EL8" s="78"/>
      <c r="EM8" s="78"/>
      <c r="EN8" s="78"/>
      <c r="EO8" s="78"/>
      <c r="EP8" s="78"/>
      <c r="EQ8" s="78"/>
      <c r="ER8" s="37">
        <v>0.0</v>
      </c>
      <c r="ES8" s="37">
        <f t="shared" si="37"/>
        <v>0</v>
      </c>
      <c r="ET8" s="78"/>
      <c r="EU8" s="78"/>
      <c r="EV8" s="78"/>
      <c r="EW8" s="78"/>
      <c r="EX8" s="78"/>
      <c r="EY8" s="78"/>
      <c r="EZ8" s="78"/>
      <c r="FA8" s="78"/>
      <c r="FB8" s="78"/>
      <c r="FC8" s="78"/>
      <c r="FD8" s="78"/>
      <c r="FE8" s="78"/>
      <c r="FF8" s="78"/>
      <c r="FG8" s="78"/>
      <c r="FH8" s="78"/>
      <c r="FI8" s="78"/>
      <c r="FJ8" s="78"/>
      <c r="FK8" s="78"/>
      <c r="FL8" s="78"/>
      <c r="FM8" s="78"/>
      <c r="FN8" s="78"/>
      <c r="FO8" s="78"/>
      <c r="FP8" s="78"/>
      <c r="FQ8" s="78"/>
      <c r="FR8" s="78"/>
      <c r="FS8" s="78"/>
      <c r="FT8" s="78"/>
      <c r="FU8" s="78"/>
      <c r="FV8" s="78"/>
      <c r="FW8" s="78"/>
      <c r="FX8" s="78"/>
      <c r="FY8" s="37">
        <v>0.0</v>
      </c>
      <c r="FZ8" s="37">
        <f t="shared" si="39"/>
        <v>0</v>
      </c>
      <c r="GA8" s="78"/>
      <c r="GB8" s="78"/>
      <c r="GC8" s="78"/>
      <c r="GD8" s="78"/>
      <c r="GE8" s="78"/>
      <c r="GF8" s="78"/>
      <c r="GG8" s="78"/>
      <c r="GH8" s="78"/>
      <c r="GI8" s="78"/>
      <c r="GJ8" s="78"/>
      <c r="GK8" s="78"/>
      <c r="GL8" s="78"/>
      <c r="GM8" s="78"/>
      <c r="GN8" s="78"/>
      <c r="GO8" s="78"/>
      <c r="GP8" s="78"/>
      <c r="GQ8" s="78"/>
      <c r="GR8" s="98">
        <f t="shared" si="40"/>
        <v>0</v>
      </c>
      <c r="GS8" s="98">
        <f t="shared" si="41"/>
        <v>0</v>
      </c>
      <c r="GT8" s="95" t="s">
        <v>194</v>
      </c>
      <c r="GU8" s="78"/>
      <c r="GV8" s="78"/>
      <c r="GW8" s="78"/>
      <c r="GX8" s="78"/>
      <c r="GY8" s="78"/>
      <c r="GZ8" s="78"/>
      <c r="HA8" s="78"/>
      <c r="HB8" s="78"/>
      <c r="HC8" s="78"/>
      <c r="HD8" s="78"/>
      <c r="HE8" s="78"/>
      <c r="HF8" s="78"/>
      <c r="HG8" s="78"/>
      <c r="HH8" s="78"/>
      <c r="HI8" s="106"/>
      <c r="HJ8" s="100"/>
      <c r="HK8" s="101"/>
      <c r="HL8" s="102"/>
    </row>
    <row r="9">
      <c r="A9" s="81" t="s">
        <v>195</v>
      </c>
      <c r="B9" s="82">
        <v>71.0</v>
      </c>
      <c r="C9" s="82">
        <v>28.0</v>
      </c>
      <c r="D9" s="82">
        <v>24.0</v>
      </c>
      <c r="E9" s="83">
        <v>1.0</v>
      </c>
      <c r="F9" s="83">
        <v>1.0</v>
      </c>
      <c r="G9" s="82" t="s">
        <v>176</v>
      </c>
      <c r="H9" s="84">
        <v>5.1</v>
      </c>
      <c r="I9" s="85">
        <f t="shared" si="1"/>
        <v>0.2125</v>
      </c>
      <c r="J9" s="103" t="str">
        <f t="shared" si="42"/>
        <v/>
      </c>
      <c r="K9" s="87" t="s">
        <v>177</v>
      </c>
      <c r="L9" s="87" t="s">
        <v>178</v>
      </c>
      <c r="M9" s="107">
        <f t="shared" si="2"/>
        <v>335400</v>
      </c>
      <c r="N9" s="37">
        <f t="shared" si="3"/>
        <v>65764.70588</v>
      </c>
      <c r="O9" s="37">
        <f t="shared" si="4"/>
        <v>0</v>
      </c>
      <c r="P9" s="37">
        <f t="shared" si="5"/>
        <v>0</v>
      </c>
      <c r="Q9" s="37">
        <f t="shared" si="6"/>
        <v>1470000</v>
      </c>
      <c r="R9" s="37">
        <f t="shared" si="7"/>
        <v>288235.2941</v>
      </c>
      <c r="S9" s="37">
        <f t="shared" si="8"/>
        <v>1134600</v>
      </c>
      <c r="T9" s="37">
        <f t="shared" si="9"/>
        <v>222470.5882</v>
      </c>
      <c r="U9" s="38">
        <f t="shared" si="10"/>
        <v>1134600</v>
      </c>
      <c r="V9" s="38">
        <f t="shared" si="11"/>
        <v>222470.5882</v>
      </c>
      <c r="W9" s="88">
        <f t="shared" si="12"/>
        <v>204</v>
      </c>
      <c r="X9" s="88">
        <v>1530000.0</v>
      </c>
      <c r="Y9" s="89">
        <v>45041.0</v>
      </c>
      <c r="Z9" s="78"/>
      <c r="AA9" s="91">
        <v>245.0</v>
      </c>
      <c r="AB9" s="104">
        <f t="shared" si="13"/>
        <v>41</v>
      </c>
      <c r="AC9" s="104">
        <f t="shared" si="14"/>
        <v>0</v>
      </c>
      <c r="AD9" s="94">
        <f t="shared" si="15"/>
        <v>0</v>
      </c>
      <c r="AE9" s="95">
        <f t="shared" si="16"/>
        <v>48.03921569</v>
      </c>
      <c r="AF9" s="95">
        <v>6000.0</v>
      </c>
      <c r="AG9" s="78"/>
      <c r="AH9" s="78"/>
      <c r="AI9" s="78"/>
      <c r="AJ9" s="37">
        <f t="shared" si="17"/>
        <v>1470000</v>
      </c>
      <c r="AK9" s="37">
        <f t="shared" si="18"/>
        <v>288235.2941</v>
      </c>
      <c r="AL9" s="95" t="s">
        <v>179</v>
      </c>
      <c r="AM9" s="95">
        <v>5.0</v>
      </c>
      <c r="AN9" s="95">
        <f t="shared" si="19"/>
        <v>0.9803921569</v>
      </c>
      <c r="AO9" s="95">
        <v>25000.0</v>
      </c>
      <c r="AP9" s="95">
        <v>0.0</v>
      </c>
      <c r="AQ9" s="78"/>
      <c r="AR9" s="95">
        <v>20000.0</v>
      </c>
      <c r="AS9" s="78"/>
      <c r="AT9" s="95" t="s">
        <v>196</v>
      </c>
      <c r="AU9" s="95">
        <v>25.0</v>
      </c>
      <c r="AV9" s="95">
        <v>0.0</v>
      </c>
      <c r="AW9" s="95">
        <v>0.0</v>
      </c>
      <c r="AX9" s="78"/>
      <c r="AY9" s="95">
        <v>20000.0</v>
      </c>
      <c r="AZ9" s="78"/>
      <c r="BA9" s="78"/>
      <c r="BB9" s="37">
        <f t="shared" si="20"/>
        <v>165000</v>
      </c>
      <c r="BC9" s="37">
        <f t="shared" si="21"/>
        <v>32352.94118</v>
      </c>
      <c r="BD9" s="37">
        <f t="shared" si="22"/>
        <v>0</v>
      </c>
      <c r="BE9" s="37">
        <f t="shared" si="23"/>
        <v>0</v>
      </c>
      <c r="BF9" s="78"/>
      <c r="BG9" s="78"/>
      <c r="BH9" s="78"/>
      <c r="BI9" s="78"/>
      <c r="BJ9" s="78"/>
      <c r="BK9" s="78"/>
      <c r="BL9" s="78"/>
      <c r="BM9" s="78"/>
      <c r="BN9" s="78"/>
      <c r="BO9" s="78"/>
      <c r="BP9" s="78"/>
      <c r="BQ9" s="78"/>
      <c r="BR9" s="37">
        <f t="shared" si="43"/>
        <v>0</v>
      </c>
      <c r="BS9" s="96"/>
      <c r="BT9" s="96"/>
      <c r="BU9" s="96"/>
      <c r="BV9" s="96"/>
      <c r="BW9" s="96"/>
      <c r="BX9" s="96"/>
      <c r="BY9" s="96"/>
      <c r="BZ9" s="96"/>
      <c r="CA9" s="96"/>
      <c r="CB9" s="95">
        <f t="shared" si="45"/>
        <v>122400</v>
      </c>
      <c r="CC9" s="95">
        <f t="shared" si="24"/>
        <v>24000</v>
      </c>
      <c r="CD9" s="95">
        <f>24000*2</f>
        <v>48000</v>
      </c>
      <c r="CE9" s="95">
        <f t="shared" si="25"/>
        <v>9411.764706</v>
      </c>
      <c r="CF9" s="95">
        <v>0.0</v>
      </c>
      <c r="CG9" s="78"/>
      <c r="CH9" s="78"/>
      <c r="CI9" s="78"/>
      <c r="CJ9" s="78"/>
      <c r="CK9" s="78"/>
      <c r="CL9" s="78"/>
      <c r="CM9" s="78"/>
      <c r="CN9" s="78"/>
      <c r="CO9" s="78"/>
      <c r="CP9" s="95">
        <f t="shared" si="27"/>
        <v>245000</v>
      </c>
      <c r="CQ9" s="95">
        <f t="shared" si="28"/>
        <v>48039.21569</v>
      </c>
      <c r="CR9" s="78"/>
      <c r="CS9" s="37">
        <f t="shared" si="29"/>
        <v>170400</v>
      </c>
      <c r="CT9" s="78"/>
      <c r="CU9" s="87" t="s">
        <v>184</v>
      </c>
      <c r="CV9" s="78"/>
      <c r="CW9" s="78"/>
      <c r="CX9" s="78"/>
      <c r="CY9" s="78"/>
      <c r="CZ9" s="95">
        <v>100.0</v>
      </c>
      <c r="DA9" s="78"/>
      <c r="DB9" s="78"/>
      <c r="DC9" s="78"/>
      <c r="DD9" s="78"/>
      <c r="DE9" s="78"/>
      <c r="DF9" s="78"/>
      <c r="DG9" s="105"/>
      <c r="DH9" s="78"/>
      <c r="DI9" s="78"/>
      <c r="DJ9" s="95" t="s">
        <v>197</v>
      </c>
      <c r="DK9" s="95">
        <v>10.0</v>
      </c>
      <c r="DL9" s="87">
        <f t="shared" si="30"/>
        <v>1.960784314</v>
      </c>
      <c r="DM9" s="95">
        <v>0.0</v>
      </c>
      <c r="DN9" s="78"/>
      <c r="DO9" s="78"/>
      <c r="DP9" s="78"/>
      <c r="DQ9" s="78"/>
      <c r="DR9" s="78"/>
      <c r="DS9" s="78"/>
      <c r="DT9" s="78"/>
      <c r="DU9" s="78"/>
      <c r="DV9" s="78"/>
      <c r="DW9" s="95" t="s">
        <v>198</v>
      </c>
      <c r="DX9" s="96"/>
      <c r="DY9" s="96"/>
      <c r="DZ9" s="90"/>
      <c r="EA9" s="78"/>
      <c r="EB9" s="95">
        <f t="shared" si="33"/>
        <v>0</v>
      </c>
      <c r="EC9" s="78"/>
      <c r="ED9" s="78"/>
      <c r="EE9" s="78"/>
      <c r="EF9" s="95">
        <f t="shared" si="34"/>
        <v>0</v>
      </c>
      <c r="EG9" s="78"/>
      <c r="EH9" s="78"/>
      <c r="EI9" s="78"/>
      <c r="EJ9" s="95">
        <f t="shared" si="35"/>
        <v>0</v>
      </c>
      <c r="EK9" s="78"/>
      <c r="EL9" s="78"/>
      <c r="EM9" s="78"/>
      <c r="EN9" s="78"/>
      <c r="EO9" s="78"/>
      <c r="EP9" s="78"/>
      <c r="EQ9" s="90"/>
      <c r="ER9" s="37">
        <v>0.0</v>
      </c>
      <c r="ES9" s="37">
        <f t="shared" si="37"/>
        <v>0</v>
      </c>
      <c r="ET9" s="78"/>
      <c r="EU9" s="90"/>
      <c r="EV9" s="90"/>
      <c r="EW9" s="90"/>
      <c r="EX9" s="90"/>
      <c r="EY9" s="90"/>
      <c r="EZ9" s="90"/>
      <c r="FA9" s="78"/>
      <c r="FB9" s="78"/>
      <c r="FC9" s="78"/>
      <c r="FD9" s="78"/>
      <c r="FE9" s="78"/>
      <c r="FF9" s="78"/>
      <c r="FG9" s="78"/>
      <c r="FH9" s="78"/>
      <c r="FI9" s="78"/>
      <c r="FJ9" s="78"/>
      <c r="FK9" s="78"/>
      <c r="FL9" s="78"/>
      <c r="FM9" s="78"/>
      <c r="FN9" s="78"/>
      <c r="FO9" s="78"/>
      <c r="FP9" s="78"/>
      <c r="FQ9" s="78"/>
      <c r="FR9" s="78"/>
      <c r="FS9" s="78"/>
      <c r="FT9" s="78"/>
      <c r="FU9" s="78"/>
      <c r="FV9" s="78"/>
      <c r="FW9" s="78"/>
      <c r="FX9" s="78"/>
      <c r="FY9" s="37">
        <v>0.0</v>
      </c>
      <c r="FZ9" s="37">
        <f t="shared" si="39"/>
        <v>0</v>
      </c>
      <c r="GA9" s="78"/>
      <c r="GB9" s="78"/>
      <c r="GC9" s="78"/>
      <c r="GD9" s="78"/>
      <c r="GE9" s="78"/>
      <c r="GF9" s="78"/>
      <c r="GG9" s="78"/>
      <c r="GH9" s="78"/>
      <c r="GI9" s="78"/>
      <c r="GJ9" s="78"/>
      <c r="GK9" s="78"/>
      <c r="GL9" s="78"/>
      <c r="GM9" s="78"/>
      <c r="GN9" s="78"/>
      <c r="GO9" s="78"/>
      <c r="GP9" s="78"/>
      <c r="GQ9" s="78"/>
      <c r="GR9" s="98">
        <f t="shared" si="40"/>
        <v>0</v>
      </c>
      <c r="GS9" s="98">
        <f t="shared" si="41"/>
        <v>0</v>
      </c>
      <c r="GT9" s="78"/>
      <c r="GU9" s="78"/>
      <c r="GV9" s="78"/>
      <c r="GW9" s="78"/>
      <c r="GX9" s="78"/>
      <c r="GY9" s="78"/>
      <c r="GZ9" s="78"/>
      <c r="HA9" s="78"/>
      <c r="HB9" s="78"/>
      <c r="HC9" s="78"/>
      <c r="HD9" s="78"/>
      <c r="HE9" s="90"/>
      <c r="HF9" s="78"/>
      <c r="HG9" s="78"/>
      <c r="HH9" s="78"/>
      <c r="HI9" s="106"/>
      <c r="HJ9" s="100"/>
      <c r="HK9" s="101"/>
      <c r="HL9" s="102"/>
    </row>
    <row r="10">
      <c r="A10" s="81" t="s">
        <v>199</v>
      </c>
      <c r="B10" s="82">
        <v>60.0</v>
      </c>
      <c r="C10" s="82">
        <v>35.0</v>
      </c>
      <c r="D10" s="82">
        <v>30.0</v>
      </c>
      <c r="E10" s="83">
        <v>1.0</v>
      </c>
      <c r="F10" s="83">
        <v>1.0</v>
      </c>
      <c r="G10" s="82" t="s">
        <v>176</v>
      </c>
      <c r="H10" s="84">
        <v>3.2</v>
      </c>
      <c r="I10" s="85">
        <f t="shared" si="1"/>
        <v>0.1066666667</v>
      </c>
      <c r="J10" s="103" t="str">
        <f t="shared" si="42"/>
        <v/>
      </c>
      <c r="K10" s="87" t="s">
        <v>177</v>
      </c>
      <c r="L10" s="87" t="s">
        <v>178</v>
      </c>
      <c r="M10" s="37">
        <f t="shared" si="2"/>
        <v>524800</v>
      </c>
      <c r="N10" s="37">
        <f t="shared" si="3"/>
        <v>164000</v>
      </c>
      <c r="O10" s="37">
        <f t="shared" si="4"/>
        <v>450000</v>
      </c>
      <c r="P10" s="37">
        <f t="shared" si="5"/>
        <v>140625</v>
      </c>
      <c r="Q10" s="37">
        <f t="shared" si="6"/>
        <v>1158000</v>
      </c>
      <c r="R10" s="37">
        <f t="shared" si="7"/>
        <v>361875</v>
      </c>
      <c r="S10" s="37">
        <f t="shared" si="8"/>
        <v>633200</v>
      </c>
      <c r="T10" s="37">
        <f t="shared" si="9"/>
        <v>197875</v>
      </c>
      <c r="U10" s="38">
        <f t="shared" si="10"/>
        <v>183200</v>
      </c>
      <c r="V10" s="38">
        <f t="shared" si="11"/>
        <v>57250</v>
      </c>
      <c r="W10" s="88">
        <f t="shared" si="12"/>
        <v>128</v>
      </c>
      <c r="X10" s="88">
        <v>960000.0</v>
      </c>
      <c r="Y10" s="89">
        <v>45041.0</v>
      </c>
      <c r="Z10" s="78"/>
      <c r="AA10" s="91">
        <v>193.0</v>
      </c>
      <c r="AB10" s="92">
        <f t="shared" si="13"/>
        <v>65</v>
      </c>
      <c r="AC10" s="93">
        <f t="shared" si="14"/>
        <v>0</v>
      </c>
      <c r="AD10" s="94">
        <f t="shared" si="15"/>
        <v>0</v>
      </c>
      <c r="AE10" s="95">
        <f t="shared" si="16"/>
        <v>60.3125</v>
      </c>
      <c r="AF10" s="95">
        <v>6000.0</v>
      </c>
      <c r="AG10" s="78"/>
      <c r="AH10" s="78"/>
      <c r="AI10" s="78"/>
      <c r="AJ10" s="37">
        <f t="shared" si="17"/>
        <v>1158000</v>
      </c>
      <c r="AK10" s="37">
        <f t="shared" si="18"/>
        <v>361875</v>
      </c>
      <c r="AL10" s="95" t="s">
        <v>179</v>
      </c>
      <c r="AM10" s="95">
        <v>10.0</v>
      </c>
      <c r="AN10" s="95">
        <f t="shared" si="19"/>
        <v>3.125</v>
      </c>
      <c r="AO10" s="95">
        <v>32000.0</v>
      </c>
      <c r="AP10" s="95">
        <v>0.0</v>
      </c>
      <c r="AQ10" s="78"/>
      <c r="AR10" s="95">
        <v>20000.0</v>
      </c>
      <c r="AS10" s="78"/>
      <c r="AT10" s="78"/>
      <c r="AU10" s="78"/>
      <c r="AV10" s="78"/>
      <c r="AW10" s="78"/>
      <c r="AX10" s="78"/>
      <c r="AY10" s="78"/>
      <c r="AZ10" s="78"/>
      <c r="BA10" s="78"/>
      <c r="BB10" s="37">
        <f t="shared" si="20"/>
        <v>340000</v>
      </c>
      <c r="BC10" s="37">
        <f t="shared" si="21"/>
        <v>106250</v>
      </c>
      <c r="BD10" s="37">
        <f t="shared" si="22"/>
        <v>0</v>
      </c>
      <c r="BE10" s="37">
        <f t="shared" si="23"/>
        <v>0</v>
      </c>
      <c r="BF10" s="95" t="s">
        <v>190</v>
      </c>
      <c r="BG10" s="95">
        <v>100.0</v>
      </c>
      <c r="BH10" s="95">
        <v>4500.0</v>
      </c>
      <c r="BI10" s="78"/>
      <c r="BJ10" s="78"/>
      <c r="BK10" s="78"/>
      <c r="BL10" s="78"/>
      <c r="BM10" s="78"/>
      <c r="BN10" s="78"/>
      <c r="BO10" s="78"/>
      <c r="BP10" s="78"/>
      <c r="BQ10" s="78"/>
      <c r="BR10" s="37">
        <f t="shared" si="43"/>
        <v>450000</v>
      </c>
      <c r="BS10" s="96"/>
      <c r="BT10" s="96"/>
      <c r="BU10" s="96"/>
      <c r="BV10" s="96"/>
      <c r="BW10" s="96"/>
      <c r="BX10" s="96"/>
      <c r="BY10" s="96"/>
      <c r="BZ10" s="96"/>
      <c r="CA10" s="96"/>
      <c r="CB10" s="95">
        <f>H10*24000</f>
        <v>76800</v>
      </c>
      <c r="CC10" s="95">
        <f t="shared" si="24"/>
        <v>24000</v>
      </c>
      <c r="CD10" s="95">
        <f>22000*2</f>
        <v>44000</v>
      </c>
      <c r="CE10" s="95">
        <f t="shared" si="25"/>
        <v>13750</v>
      </c>
      <c r="CF10" s="95">
        <f t="shared" ref="CF10:CF11" si="46">H10*20000</f>
        <v>64000</v>
      </c>
      <c r="CG10" s="95">
        <f t="shared" ref="CG10:CG11" si="47">CF10/H10</f>
        <v>20000</v>
      </c>
      <c r="CH10" s="78"/>
      <c r="CI10" s="78"/>
      <c r="CJ10" s="78"/>
      <c r="CK10" s="78"/>
      <c r="CL10" s="78"/>
      <c r="CM10" s="78"/>
      <c r="CN10" s="78"/>
      <c r="CO10" s="78"/>
      <c r="CP10" s="95">
        <f t="shared" si="27"/>
        <v>193000</v>
      </c>
      <c r="CQ10" s="95">
        <f t="shared" si="28"/>
        <v>60312.5</v>
      </c>
      <c r="CR10" s="78"/>
      <c r="CS10" s="37">
        <f t="shared" si="29"/>
        <v>184800</v>
      </c>
      <c r="CT10" s="78"/>
      <c r="CU10" s="87" t="s">
        <v>184</v>
      </c>
      <c r="CV10" s="78"/>
      <c r="CW10" s="78"/>
      <c r="CX10" s="78"/>
      <c r="CY10" s="78"/>
      <c r="CZ10" s="95">
        <v>100.0</v>
      </c>
      <c r="DA10" s="78"/>
      <c r="DB10" s="78"/>
      <c r="DC10" s="78"/>
      <c r="DD10" s="78"/>
      <c r="DE10" s="78"/>
      <c r="DF10" s="78"/>
      <c r="DG10" s="105"/>
      <c r="DH10" s="78"/>
      <c r="DI10" s="78"/>
      <c r="DJ10" s="95" t="s">
        <v>200</v>
      </c>
      <c r="DK10" s="95">
        <v>165.0</v>
      </c>
      <c r="DL10" s="87">
        <f t="shared" si="30"/>
        <v>51.5625</v>
      </c>
      <c r="DM10" s="95">
        <v>0.0</v>
      </c>
      <c r="DN10" s="78"/>
      <c r="DO10" s="78"/>
      <c r="DP10" s="78"/>
      <c r="DQ10" s="78"/>
      <c r="DR10" s="78"/>
      <c r="DS10" s="78"/>
      <c r="DT10" s="95">
        <f t="shared" ref="DT10:DT12" si="48">(DK10+DO10+DR10)/H10</f>
        <v>51.5625</v>
      </c>
      <c r="DU10" s="78"/>
      <c r="DV10" s="78"/>
      <c r="DW10" s="95" t="s">
        <v>201</v>
      </c>
      <c r="DX10" s="96"/>
      <c r="DY10" s="96"/>
      <c r="DZ10" s="90"/>
      <c r="EA10" s="78"/>
      <c r="EB10" s="95">
        <f t="shared" si="33"/>
        <v>0</v>
      </c>
      <c r="EC10" s="78"/>
      <c r="ED10" s="78"/>
      <c r="EE10" s="78"/>
      <c r="EF10" s="95">
        <f t="shared" si="34"/>
        <v>0</v>
      </c>
      <c r="EG10" s="78"/>
      <c r="EH10" s="78"/>
      <c r="EI10" s="78"/>
      <c r="EJ10" s="95">
        <f t="shared" si="35"/>
        <v>0</v>
      </c>
      <c r="EK10" s="78"/>
      <c r="EL10" s="78"/>
      <c r="EM10" s="78"/>
      <c r="EN10" s="78"/>
      <c r="EO10" s="78"/>
      <c r="EP10" s="78"/>
      <c r="EQ10" s="78"/>
      <c r="ER10" s="37">
        <v>0.0</v>
      </c>
      <c r="ES10" s="37">
        <f t="shared" si="37"/>
        <v>0</v>
      </c>
      <c r="ET10" s="78"/>
      <c r="EU10" s="78"/>
      <c r="EV10" s="78"/>
      <c r="EW10" s="78"/>
      <c r="EX10" s="78"/>
      <c r="EY10" s="78"/>
      <c r="EZ10" s="78"/>
      <c r="FA10" s="78"/>
      <c r="FB10" s="78"/>
      <c r="FC10" s="78"/>
      <c r="FD10" s="78"/>
      <c r="FE10" s="78"/>
      <c r="FF10" s="78"/>
      <c r="FG10" s="78"/>
      <c r="FH10" s="78"/>
      <c r="FI10" s="78"/>
      <c r="FJ10" s="78"/>
      <c r="FK10" s="78"/>
      <c r="FL10" s="78"/>
      <c r="FM10" s="78"/>
      <c r="FN10" s="78"/>
      <c r="FO10" s="78"/>
      <c r="FP10" s="78"/>
      <c r="FQ10" s="78"/>
      <c r="FR10" s="78"/>
      <c r="FS10" s="78"/>
      <c r="FT10" s="78"/>
      <c r="FU10" s="78"/>
      <c r="FV10" s="78"/>
      <c r="FW10" s="78"/>
      <c r="FX10" s="78"/>
      <c r="FY10" s="37">
        <v>0.0</v>
      </c>
      <c r="FZ10" s="37">
        <f t="shared" si="39"/>
        <v>0</v>
      </c>
      <c r="GA10" s="78"/>
      <c r="GB10" s="78"/>
      <c r="GC10" s="78"/>
      <c r="GD10" s="78"/>
      <c r="GE10" s="78"/>
      <c r="GF10" s="78"/>
      <c r="GG10" s="78"/>
      <c r="GH10" s="78"/>
      <c r="GI10" s="78"/>
      <c r="GJ10" s="78"/>
      <c r="GK10" s="78"/>
      <c r="GL10" s="78"/>
      <c r="GM10" s="78"/>
      <c r="GN10" s="78"/>
      <c r="GO10" s="78"/>
      <c r="GP10" s="78"/>
      <c r="GQ10" s="78"/>
      <c r="GR10" s="98">
        <f t="shared" si="40"/>
        <v>0</v>
      </c>
      <c r="GS10" s="98">
        <f t="shared" si="41"/>
        <v>0</v>
      </c>
      <c r="GT10" s="95" t="s">
        <v>194</v>
      </c>
      <c r="GU10" s="78"/>
      <c r="GV10" s="78"/>
      <c r="GW10" s="78"/>
      <c r="GX10" s="78"/>
      <c r="GY10" s="78"/>
      <c r="GZ10" s="78"/>
      <c r="HA10" s="78"/>
      <c r="HB10" s="78"/>
      <c r="HC10" s="78"/>
      <c r="HD10" s="78"/>
      <c r="HE10" s="78"/>
      <c r="HF10" s="78"/>
      <c r="HG10" s="78"/>
      <c r="HH10" s="78"/>
      <c r="HI10" s="106"/>
      <c r="HJ10" s="100"/>
      <c r="HK10" s="101"/>
      <c r="HL10" s="102"/>
    </row>
    <row r="11">
      <c r="A11" s="81" t="s">
        <v>202</v>
      </c>
      <c r="B11" s="82">
        <v>54.0</v>
      </c>
      <c r="C11" s="82">
        <v>115.0</v>
      </c>
      <c r="D11" s="82">
        <v>90.0</v>
      </c>
      <c r="E11" s="83">
        <v>1.0</v>
      </c>
      <c r="F11" s="83">
        <v>1.0</v>
      </c>
      <c r="G11" s="82" t="s">
        <v>176</v>
      </c>
      <c r="H11" s="84">
        <v>10.0</v>
      </c>
      <c r="I11" s="85">
        <f t="shared" si="1"/>
        <v>0.1111111111</v>
      </c>
      <c r="J11" s="103" t="str">
        <f t="shared" si="42"/>
        <v/>
      </c>
      <c r="K11" s="87" t="s">
        <v>177</v>
      </c>
      <c r="L11" s="87" t="s">
        <v>178</v>
      </c>
      <c r="M11" s="37">
        <f t="shared" si="2"/>
        <v>2505035</v>
      </c>
      <c r="N11" s="37">
        <f t="shared" si="3"/>
        <v>250503.5</v>
      </c>
      <c r="O11" s="37">
        <f t="shared" si="4"/>
        <v>400000</v>
      </c>
      <c r="P11" s="37">
        <f t="shared" si="5"/>
        <v>40000</v>
      </c>
      <c r="Q11" s="37">
        <f t="shared" si="6"/>
        <v>6030000</v>
      </c>
      <c r="R11" s="37">
        <f t="shared" si="7"/>
        <v>603000</v>
      </c>
      <c r="S11" s="37">
        <f t="shared" si="8"/>
        <v>3524965</v>
      </c>
      <c r="T11" s="37">
        <f t="shared" si="9"/>
        <v>352496.5</v>
      </c>
      <c r="U11" s="38">
        <f t="shared" si="10"/>
        <v>3124965</v>
      </c>
      <c r="V11" s="38">
        <f t="shared" si="11"/>
        <v>312496.5</v>
      </c>
      <c r="W11" s="88">
        <f t="shared" si="12"/>
        <v>400</v>
      </c>
      <c r="X11" s="88">
        <v>3000000.0</v>
      </c>
      <c r="Y11" s="89">
        <v>45041.0</v>
      </c>
      <c r="Z11" s="78"/>
      <c r="AA11" s="91">
        <v>605.0</v>
      </c>
      <c r="AB11" s="92">
        <f t="shared" si="13"/>
        <v>205</v>
      </c>
      <c r="AC11" s="93">
        <f t="shared" si="14"/>
        <v>0</v>
      </c>
      <c r="AD11" s="94">
        <f t="shared" si="15"/>
        <v>0</v>
      </c>
      <c r="AE11" s="95">
        <f t="shared" si="16"/>
        <v>60.5</v>
      </c>
      <c r="AF11" s="95">
        <v>6000.0</v>
      </c>
      <c r="AG11" s="78"/>
      <c r="AH11" s="78"/>
      <c r="AI11" s="78"/>
      <c r="AJ11" s="37">
        <f t="shared" si="17"/>
        <v>3630000</v>
      </c>
      <c r="AK11" s="37">
        <f t="shared" si="18"/>
        <v>363000</v>
      </c>
      <c r="AL11" s="95" t="s">
        <v>179</v>
      </c>
      <c r="AM11" s="95">
        <v>65.0</v>
      </c>
      <c r="AN11" s="95">
        <f t="shared" si="19"/>
        <v>6.5</v>
      </c>
      <c r="AO11" s="95">
        <v>7539.0</v>
      </c>
      <c r="AP11" s="95">
        <v>40.0</v>
      </c>
      <c r="AQ11" s="95">
        <v>60000.0</v>
      </c>
      <c r="AR11" s="95">
        <v>940000.0</v>
      </c>
      <c r="AS11" s="78"/>
      <c r="AT11" s="95" t="s">
        <v>196</v>
      </c>
      <c r="AU11" s="95">
        <v>200.0</v>
      </c>
      <c r="AV11" s="95">
        <v>1500.0</v>
      </c>
      <c r="AW11" s="95">
        <v>0.0</v>
      </c>
      <c r="AX11" s="78"/>
      <c r="AY11" s="95">
        <v>20000.0</v>
      </c>
      <c r="AZ11" s="78"/>
      <c r="BA11" s="78"/>
      <c r="BB11" s="37">
        <f t="shared" si="20"/>
        <v>1750035</v>
      </c>
      <c r="BC11" s="37">
        <f t="shared" si="21"/>
        <v>175003.5</v>
      </c>
      <c r="BD11" s="37">
        <f t="shared" si="22"/>
        <v>2400000</v>
      </c>
      <c r="BE11" s="37">
        <f t="shared" si="23"/>
        <v>240000</v>
      </c>
      <c r="BF11" s="95" t="s">
        <v>181</v>
      </c>
      <c r="BG11" s="78"/>
      <c r="BH11" s="95">
        <v>375000.0</v>
      </c>
      <c r="BI11" s="108" t="s">
        <v>180</v>
      </c>
      <c r="BJ11" s="78"/>
      <c r="BK11" s="95">
        <v>45000.0</v>
      </c>
      <c r="BL11" s="95" t="s">
        <v>183</v>
      </c>
      <c r="BM11" s="78"/>
      <c r="BN11" s="95">
        <v>80000.0</v>
      </c>
      <c r="BO11" s="95" t="s">
        <v>182</v>
      </c>
      <c r="BP11" s="95">
        <v>200.0</v>
      </c>
      <c r="BQ11" s="95">
        <v>2000.0</v>
      </c>
      <c r="BR11" s="37">
        <f t="shared" si="43"/>
        <v>400000</v>
      </c>
      <c r="BS11" s="96"/>
      <c r="BT11" s="96"/>
      <c r="BU11" s="96"/>
      <c r="BV11" s="96"/>
      <c r="BW11" s="96"/>
      <c r="BX11" s="96"/>
      <c r="BY11" s="96"/>
      <c r="BZ11" s="96"/>
      <c r="CA11" s="96"/>
      <c r="CB11" s="95">
        <f>H11*33500</f>
        <v>335000</v>
      </c>
      <c r="CC11" s="95">
        <f t="shared" si="24"/>
        <v>33500</v>
      </c>
      <c r="CD11" s="95">
        <f>H11*22000</f>
        <v>220000</v>
      </c>
      <c r="CE11" s="95">
        <f t="shared" si="25"/>
        <v>22000</v>
      </c>
      <c r="CF11" s="95">
        <f t="shared" si="46"/>
        <v>200000</v>
      </c>
      <c r="CG11" s="95">
        <f t="shared" si="47"/>
        <v>20000</v>
      </c>
      <c r="CH11" s="78"/>
      <c r="CI11" s="78"/>
      <c r="CJ11" s="78"/>
      <c r="CK11" s="78"/>
      <c r="CL11" s="78"/>
      <c r="CM11" s="78"/>
      <c r="CN11" s="78"/>
      <c r="CO11" s="78"/>
      <c r="CP11" s="95">
        <f t="shared" si="27"/>
        <v>605000</v>
      </c>
      <c r="CQ11" s="95">
        <f t="shared" si="28"/>
        <v>60500</v>
      </c>
      <c r="CR11" s="78"/>
      <c r="CS11" s="37">
        <f t="shared" si="29"/>
        <v>755000</v>
      </c>
      <c r="CT11" s="78"/>
      <c r="CU11" s="95" t="s">
        <v>184</v>
      </c>
      <c r="CV11" s="78"/>
      <c r="CW11" s="78"/>
      <c r="CX11" s="78"/>
      <c r="CY11" s="78"/>
      <c r="CZ11" s="95">
        <v>100.0</v>
      </c>
      <c r="DA11" s="78"/>
      <c r="DB11" s="78"/>
      <c r="DC11" s="78"/>
      <c r="DD11" s="78"/>
      <c r="DE11" s="78"/>
      <c r="DF11" s="78"/>
      <c r="DG11" s="105"/>
      <c r="DH11" s="78"/>
      <c r="DI11" s="78"/>
      <c r="DJ11" s="95" t="s">
        <v>187</v>
      </c>
      <c r="DK11" s="95">
        <v>225.0</v>
      </c>
      <c r="DL11" s="87">
        <f t="shared" si="30"/>
        <v>22.5</v>
      </c>
      <c r="DM11" s="95">
        <v>0.0</v>
      </c>
      <c r="DN11" s="95" t="s">
        <v>203</v>
      </c>
      <c r="DO11" s="95">
        <v>32.0</v>
      </c>
      <c r="DP11" s="95">
        <v>0.0</v>
      </c>
      <c r="DQ11" s="78"/>
      <c r="DR11" s="78"/>
      <c r="DS11" s="78"/>
      <c r="DT11" s="95">
        <f t="shared" si="48"/>
        <v>25.7</v>
      </c>
      <c r="DU11" s="78"/>
      <c r="DV11" s="78"/>
      <c r="DW11" s="95" t="s">
        <v>204</v>
      </c>
      <c r="DX11" s="96"/>
      <c r="DY11" s="96"/>
      <c r="DZ11" s="90"/>
      <c r="EA11" s="78"/>
      <c r="EB11" s="95">
        <f t="shared" si="33"/>
        <v>0</v>
      </c>
      <c r="EC11" s="78"/>
      <c r="ED11" s="78"/>
      <c r="EE11" s="78"/>
      <c r="EF11" s="95">
        <f t="shared" si="34"/>
        <v>0</v>
      </c>
      <c r="EG11" s="78"/>
      <c r="EH11" s="78"/>
      <c r="EI11" s="78"/>
      <c r="EJ11" s="95">
        <f t="shared" si="35"/>
        <v>0</v>
      </c>
      <c r="EK11" s="78"/>
      <c r="EL11" s="78"/>
      <c r="EM11" s="78"/>
      <c r="EN11" s="78"/>
      <c r="EO11" s="78"/>
      <c r="EP11" s="78"/>
      <c r="EQ11" s="78"/>
      <c r="ER11" s="37">
        <v>0.0</v>
      </c>
      <c r="ES11" s="37">
        <f t="shared" si="37"/>
        <v>0</v>
      </c>
      <c r="ET11" s="78"/>
      <c r="EU11" s="78"/>
      <c r="EV11" s="90"/>
      <c r="EW11" s="78"/>
      <c r="EX11" s="78"/>
      <c r="EY11" s="78"/>
      <c r="EZ11" s="78"/>
      <c r="FA11" s="78"/>
      <c r="FB11" s="78"/>
      <c r="FC11" s="78"/>
      <c r="FD11" s="78"/>
      <c r="FE11" s="78"/>
      <c r="FF11" s="78"/>
      <c r="FG11" s="78"/>
      <c r="FH11" s="78"/>
      <c r="FI11" s="78"/>
      <c r="FJ11" s="78"/>
      <c r="FK11" s="78"/>
      <c r="FL11" s="78"/>
      <c r="FM11" s="78"/>
      <c r="FN11" s="78"/>
      <c r="FO11" s="78"/>
      <c r="FP11" s="78"/>
      <c r="FQ11" s="78"/>
      <c r="FR11" s="78"/>
      <c r="FS11" s="78"/>
      <c r="FT11" s="78"/>
      <c r="FU11" s="78"/>
      <c r="FV11" s="78"/>
      <c r="FW11" s="78"/>
      <c r="FX11" s="78"/>
      <c r="FY11" s="37">
        <v>0.0</v>
      </c>
      <c r="FZ11" s="37">
        <f t="shared" si="39"/>
        <v>0</v>
      </c>
      <c r="GA11" s="78"/>
      <c r="GB11" s="78"/>
      <c r="GC11" s="78"/>
      <c r="GD11" s="78"/>
      <c r="GE11" s="78"/>
      <c r="GF11" s="78"/>
      <c r="GG11" s="78"/>
      <c r="GH11" s="78"/>
      <c r="GI11" s="78"/>
      <c r="GJ11" s="78"/>
      <c r="GK11" s="78"/>
      <c r="GL11" s="78"/>
      <c r="GM11" s="78"/>
      <c r="GN11" s="78"/>
      <c r="GO11" s="78"/>
      <c r="GP11" s="78"/>
      <c r="GQ11" s="78"/>
      <c r="GR11" s="98">
        <f t="shared" si="40"/>
        <v>0</v>
      </c>
      <c r="GS11" s="98">
        <f t="shared" si="41"/>
        <v>0</v>
      </c>
      <c r="GT11" s="95" t="s">
        <v>194</v>
      </c>
      <c r="GU11" s="78"/>
      <c r="GV11" s="78"/>
      <c r="GW11" s="78"/>
      <c r="GX11" s="78"/>
      <c r="GY11" s="78"/>
      <c r="GZ11" s="78"/>
      <c r="HA11" s="78"/>
      <c r="HB11" s="78"/>
      <c r="HC11" s="78"/>
      <c r="HD11" s="78"/>
      <c r="HE11" s="78"/>
      <c r="HF11" s="78"/>
      <c r="HG11" s="78"/>
      <c r="HH11" s="78"/>
      <c r="HI11" s="106"/>
      <c r="HJ11" s="100"/>
      <c r="HK11" s="101"/>
      <c r="HL11" s="102"/>
    </row>
    <row r="12">
      <c r="A12" s="81" t="s">
        <v>205</v>
      </c>
      <c r="B12" s="109">
        <v>50.0</v>
      </c>
      <c r="C12" s="109">
        <v>42.0</v>
      </c>
      <c r="D12" s="109">
        <v>20.0</v>
      </c>
      <c r="E12" s="83">
        <v>1.0</v>
      </c>
      <c r="F12" s="110">
        <v>1.0</v>
      </c>
      <c r="G12" s="109" t="s">
        <v>176</v>
      </c>
      <c r="H12" s="111">
        <v>5.5</v>
      </c>
      <c r="I12" s="85">
        <f t="shared" si="1"/>
        <v>0.275</v>
      </c>
      <c r="J12" s="103" t="str">
        <f t="shared" si="42"/>
        <v/>
      </c>
      <c r="K12" s="87" t="s">
        <v>177</v>
      </c>
      <c r="L12" s="87" t="s">
        <v>178</v>
      </c>
      <c r="M12" s="37">
        <f t="shared" si="2"/>
        <v>644000</v>
      </c>
      <c r="N12" s="37">
        <f t="shared" si="3"/>
        <v>117090.9091</v>
      </c>
      <c r="O12" s="37">
        <f t="shared" si="4"/>
        <v>0</v>
      </c>
      <c r="P12" s="37">
        <f t="shared" si="5"/>
        <v>0</v>
      </c>
      <c r="Q12" s="37">
        <f t="shared" si="6"/>
        <v>2232000</v>
      </c>
      <c r="R12" s="37">
        <f t="shared" si="7"/>
        <v>405818.1818</v>
      </c>
      <c r="S12" s="37">
        <f t="shared" si="8"/>
        <v>1588000</v>
      </c>
      <c r="T12" s="37">
        <f t="shared" si="9"/>
        <v>288727.2727</v>
      </c>
      <c r="U12" s="38">
        <f t="shared" si="10"/>
        <v>1588000</v>
      </c>
      <c r="V12" s="38">
        <f t="shared" si="11"/>
        <v>288727.2727</v>
      </c>
      <c r="W12" s="88">
        <f t="shared" si="12"/>
        <v>220</v>
      </c>
      <c r="X12" s="88">
        <v>1650000.0</v>
      </c>
      <c r="Y12" s="89">
        <v>45041.0</v>
      </c>
      <c r="Z12" s="90"/>
      <c r="AA12" s="112">
        <v>292.0</v>
      </c>
      <c r="AB12" s="92">
        <f t="shared" si="13"/>
        <v>72</v>
      </c>
      <c r="AC12" s="93">
        <f t="shared" si="14"/>
        <v>0</v>
      </c>
      <c r="AD12" s="94">
        <f t="shared" si="15"/>
        <v>0</v>
      </c>
      <c r="AE12" s="95">
        <f>$AA$12/H12</f>
        <v>53.09090909</v>
      </c>
      <c r="AF12" s="87">
        <v>6000.0</v>
      </c>
      <c r="AG12" s="78"/>
      <c r="AH12" s="90"/>
      <c r="AI12" s="90"/>
      <c r="AJ12" s="37">
        <f t="shared" si="17"/>
        <v>1752000</v>
      </c>
      <c r="AK12" s="37">
        <f t="shared" si="18"/>
        <v>318545.4545</v>
      </c>
      <c r="AL12" s="87" t="s">
        <v>179</v>
      </c>
      <c r="AM12" s="87">
        <v>40.0</v>
      </c>
      <c r="AN12" s="95">
        <f t="shared" si="19"/>
        <v>7.272727273</v>
      </c>
      <c r="AO12" s="87">
        <v>8550.0</v>
      </c>
      <c r="AP12" s="87">
        <v>16.0</v>
      </c>
      <c r="AQ12" s="87">
        <v>30000.0</v>
      </c>
      <c r="AR12" s="87">
        <v>60000.0</v>
      </c>
      <c r="AS12" s="90"/>
      <c r="AT12" s="90"/>
      <c r="AU12" s="90"/>
      <c r="AV12" s="90"/>
      <c r="AW12" s="90"/>
      <c r="AX12" s="90"/>
      <c r="AY12" s="90"/>
      <c r="AZ12" s="90"/>
      <c r="BA12" s="90"/>
      <c r="BB12" s="37">
        <f t="shared" si="20"/>
        <v>402000</v>
      </c>
      <c r="BC12" s="37">
        <f t="shared" si="21"/>
        <v>73090.90909</v>
      </c>
      <c r="BD12" s="37">
        <f t="shared" si="22"/>
        <v>480000</v>
      </c>
      <c r="BE12" s="37">
        <f t="shared" si="23"/>
        <v>87272.72727</v>
      </c>
      <c r="BF12" s="90"/>
      <c r="BG12" s="90"/>
      <c r="BH12" s="90"/>
      <c r="BI12" s="90"/>
      <c r="BJ12" s="90"/>
      <c r="BK12" s="90"/>
      <c r="BL12" s="90"/>
      <c r="BM12" s="90"/>
      <c r="BN12" s="90"/>
      <c r="BO12" s="90"/>
      <c r="BP12" s="90"/>
      <c r="BQ12" s="90"/>
      <c r="BR12" s="37">
        <f t="shared" si="43"/>
        <v>0</v>
      </c>
      <c r="BS12" s="96"/>
      <c r="BT12" s="96"/>
      <c r="BU12" s="96"/>
      <c r="BV12" s="96"/>
      <c r="BW12" s="96"/>
      <c r="BX12" s="96"/>
      <c r="BY12" s="96"/>
      <c r="BZ12" s="96"/>
      <c r="CA12" s="96"/>
      <c r="CB12" s="87">
        <f>H12*24000</f>
        <v>132000</v>
      </c>
      <c r="CC12" s="95">
        <f t="shared" si="24"/>
        <v>24000</v>
      </c>
      <c r="CD12" s="87">
        <f>22000*5</f>
        <v>110000</v>
      </c>
      <c r="CE12" s="95">
        <f t="shared" si="25"/>
        <v>20000</v>
      </c>
      <c r="CF12" s="87">
        <v>0.0</v>
      </c>
      <c r="CG12" s="78"/>
      <c r="CH12" s="90"/>
      <c r="CI12" s="90"/>
      <c r="CJ12" s="90"/>
      <c r="CK12" s="90"/>
      <c r="CL12" s="90"/>
      <c r="CM12" s="90"/>
      <c r="CN12" s="90"/>
      <c r="CO12" s="78"/>
      <c r="CP12" s="95">
        <f t="shared" si="27"/>
        <v>292000</v>
      </c>
      <c r="CQ12" s="95">
        <f t="shared" si="28"/>
        <v>53090.90909</v>
      </c>
      <c r="CR12" s="90"/>
      <c r="CS12" s="37">
        <f t="shared" si="29"/>
        <v>242000</v>
      </c>
      <c r="CT12" s="78"/>
      <c r="CU12" s="87" t="s">
        <v>184</v>
      </c>
      <c r="CV12" s="90"/>
      <c r="CW12" s="90"/>
      <c r="CX12" s="90"/>
      <c r="CY12" s="90"/>
      <c r="CZ12" s="87">
        <v>100.0</v>
      </c>
      <c r="DA12" s="90"/>
      <c r="DB12" s="90"/>
      <c r="DC12" s="90"/>
      <c r="DD12" s="90"/>
      <c r="DE12" s="90"/>
      <c r="DF12" s="90"/>
      <c r="DG12" s="97"/>
      <c r="DH12" s="90"/>
      <c r="DI12" s="90"/>
      <c r="DJ12" s="87" t="s">
        <v>206</v>
      </c>
      <c r="DK12" s="87">
        <v>150.0</v>
      </c>
      <c r="DL12" s="87">
        <f t="shared" si="30"/>
        <v>27.27272727</v>
      </c>
      <c r="DM12" s="87">
        <v>0.0</v>
      </c>
      <c r="DN12" s="90"/>
      <c r="DO12" s="90"/>
      <c r="DP12" s="90"/>
      <c r="DQ12" s="90"/>
      <c r="DR12" s="90"/>
      <c r="DS12" s="90"/>
      <c r="DT12" s="95">
        <f t="shared" si="48"/>
        <v>27.27272727</v>
      </c>
      <c r="DU12" s="90"/>
      <c r="DV12" s="90"/>
      <c r="DW12" s="87" t="s">
        <v>207</v>
      </c>
      <c r="DX12" s="96"/>
      <c r="DY12" s="96"/>
      <c r="DZ12" s="90"/>
      <c r="EA12" s="90"/>
      <c r="EB12" s="95">
        <f t="shared" si="33"/>
        <v>0</v>
      </c>
      <c r="EC12" s="90"/>
      <c r="ED12" s="90"/>
      <c r="EE12" s="90"/>
      <c r="EF12" s="95">
        <f t="shared" si="34"/>
        <v>0</v>
      </c>
      <c r="EG12" s="90"/>
      <c r="EH12" s="90"/>
      <c r="EI12" s="90"/>
      <c r="EJ12" s="95">
        <f t="shared" si="35"/>
        <v>0</v>
      </c>
      <c r="EK12" s="90"/>
      <c r="EL12" s="90"/>
      <c r="EM12" s="90"/>
      <c r="EN12" s="90"/>
      <c r="EO12" s="90"/>
      <c r="EP12" s="90"/>
      <c r="EQ12" s="90"/>
      <c r="ER12" s="37">
        <v>0.0</v>
      </c>
      <c r="ES12" s="37">
        <f t="shared" si="37"/>
        <v>0</v>
      </c>
      <c r="ET12" s="90"/>
      <c r="EU12" s="90"/>
      <c r="EV12" s="90"/>
      <c r="EW12" s="90"/>
      <c r="EX12" s="90"/>
      <c r="EY12" s="90"/>
      <c r="EZ12" s="90"/>
      <c r="FA12" s="90"/>
      <c r="FB12" s="90"/>
      <c r="FC12" s="90"/>
      <c r="FD12" s="90"/>
      <c r="FE12" s="90"/>
      <c r="FF12" s="90"/>
      <c r="FG12" s="90"/>
      <c r="FH12" s="90"/>
      <c r="FI12" s="90"/>
      <c r="FJ12" s="90"/>
      <c r="FK12" s="90"/>
      <c r="FL12" s="90"/>
      <c r="FM12" s="90"/>
      <c r="FN12" s="90"/>
      <c r="FO12" s="90"/>
      <c r="FP12" s="90"/>
      <c r="FQ12" s="90"/>
      <c r="FR12" s="90"/>
      <c r="FS12" s="90"/>
      <c r="FT12" s="90"/>
      <c r="FU12" s="90"/>
      <c r="FV12" s="90"/>
      <c r="FW12" s="90"/>
      <c r="FX12" s="90"/>
      <c r="FY12" s="37">
        <v>0.0</v>
      </c>
      <c r="FZ12" s="37">
        <f t="shared" si="39"/>
        <v>0</v>
      </c>
      <c r="GA12" s="90"/>
      <c r="GB12" s="90"/>
      <c r="GC12" s="90"/>
      <c r="GD12" s="90"/>
      <c r="GE12" s="90"/>
      <c r="GF12" s="90"/>
      <c r="GG12" s="90"/>
      <c r="GH12" s="90"/>
      <c r="GI12" s="90"/>
      <c r="GJ12" s="90"/>
      <c r="GK12" s="90"/>
      <c r="GL12" s="90"/>
      <c r="GM12" s="90"/>
      <c r="GN12" s="90"/>
      <c r="GO12" s="90"/>
      <c r="GP12" s="90"/>
      <c r="GQ12" s="90"/>
      <c r="GR12" s="98">
        <f t="shared" si="40"/>
        <v>0</v>
      </c>
      <c r="GS12" s="98">
        <f t="shared" si="41"/>
        <v>0</v>
      </c>
      <c r="GT12" s="95" t="s">
        <v>194</v>
      </c>
      <c r="GU12" s="95" t="s">
        <v>208</v>
      </c>
      <c r="GV12" s="78"/>
      <c r="GW12" s="78"/>
      <c r="GX12" s="78"/>
      <c r="GY12" s="78"/>
      <c r="GZ12" s="90"/>
      <c r="HA12" s="90"/>
      <c r="HB12" s="90"/>
      <c r="HC12" s="90"/>
      <c r="HD12" s="90"/>
      <c r="HE12" s="90"/>
      <c r="HF12" s="90"/>
      <c r="HG12" s="90"/>
      <c r="HH12" s="90"/>
      <c r="HI12" s="99"/>
      <c r="HJ12" s="100"/>
      <c r="HK12" s="101"/>
      <c r="HL12" s="102"/>
    </row>
    <row r="13">
      <c r="A13" s="113" t="s">
        <v>209</v>
      </c>
    </row>
    <row r="14">
      <c r="A14" s="114" t="s">
        <v>210</v>
      </c>
      <c r="B14" s="115">
        <v>70.0</v>
      </c>
      <c r="C14" s="115">
        <v>34.0</v>
      </c>
      <c r="D14" s="116">
        <v>10.0</v>
      </c>
      <c r="E14" s="117">
        <v>2.0</v>
      </c>
      <c r="F14" s="117">
        <v>1.0</v>
      </c>
      <c r="G14" s="115" t="s">
        <v>176</v>
      </c>
      <c r="H14" s="118">
        <v>7.26</v>
      </c>
      <c r="I14" s="119">
        <f>H14/D14</f>
        <v>0.726</v>
      </c>
      <c r="J14" s="120" t="str">
        <f>DA14</f>
        <v/>
      </c>
      <c r="K14" s="87" t="s">
        <v>177</v>
      </c>
      <c r="L14" s="87" t="s">
        <v>211</v>
      </c>
      <c r="M14" s="37">
        <f>BB14+DX14+ER14+FY14+GR14+CS14</f>
        <v>689240</v>
      </c>
      <c r="N14" s="37">
        <f>M14/H14</f>
        <v>94936.63912</v>
      </c>
      <c r="O14" s="37">
        <f>BR14</f>
        <v>0</v>
      </c>
      <c r="P14" s="37">
        <f>O14/H14</f>
        <v>0</v>
      </c>
      <c r="Q14" s="37">
        <f>BD14+AJ14</f>
        <v>3502500</v>
      </c>
      <c r="R14" s="37">
        <f>Q14/H14</f>
        <v>482438.0165</v>
      </c>
      <c r="S14" s="37">
        <f>Q14-M14</f>
        <v>2813260</v>
      </c>
      <c r="T14" s="37">
        <f>S14/H14</f>
        <v>387501.3774</v>
      </c>
      <c r="U14" s="38">
        <f>Q14-O14-M14</f>
        <v>2813260</v>
      </c>
      <c r="V14" s="38">
        <f>U14/H14</f>
        <v>387501.3774</v>
      </c>
      <c r="W14" s="88">
        <f>40*H14</f>
        <v>290.4</v>
      </c>
      <c r="X14" s="88">
        <v>2178000.0</v>
      </c>
      <c r="Y14" s="89">
        <v>45129.0</v>
      </c>
      <c r="Z14" s="90"/>
      <c r="AA14" s="112">
        <v>431.0</v>
      </c>
      <c r="AB14" s="92">
        <f>AA14-W14</f>
        <v>140.6</v>
      </c>
      <c r="AC14" s="93">
        <f>IF(X14&lt;&gt;"", IFS(AB14&lt;0, AB14*AF14, AB14&gt;0, 0, AB14="", ""), "")
</f>
        <v>0</v>
      </c>
      <c r="AD14" s="94">
        <f>IF(X14&lt;&gt;"", IFS(AB14&lt;0, AB14*AF14, AB14&gt;0, 0, AB14="", ""), 0)</f>
        <v>0</v>
      </c>
      <c r="AE14" s="95">
        <f>AA14/H14</f>
        <v>59.36639118</v>
      </c>
      <c r="AF14" s="87">
        <v>7500.0</v>
      </c>
      <c r="AG14" s="90"/>
      <c r="AH14" s="90"/>
      <c r="AI14" s="90"/>
      <c r="AJ14" s="37">
        <f>AA14*AF14</f>
        <v>3232500</v>
      </c>
      <c r="AK14" s="37">
        <f>AJ14/H14</f>
        <v>445247.9339</v>
      </c>
      <c r="AL14" s="87" t="s">
        <v>179</v>
      </c>
      <c r="AM14" s="87">
        <v>9.0</v>
      </c>
      <c r="AN14" s="95">
        <f>AM14/H14</f>
        <v>1.239669421</v>
      </c>
      <c r="AO14" s="87">
        <f>200000/9</f>
        <v>22222.22222</v>
      </c>
      <c r="AP14" s="87">
        <v>9.0</v>
      </c>
      <c r="AQ14" s="87">
        <v>30000.0</v>
      </c>
      <c r="AR14" s="87">
        <v>100000.0</v>
      </c>
      <c r="AS14" s="90"/>
      <c r="AT14" s="90"/>
      <c r="AU14" s="90"/>
      <c r="AV14" s="90"/>
      <c r="AW14" s="90"/>
      <c r="AX14" s="90"/>
      <c r="AY14" s="90"/>
      <c r="AZ14" s="90"/>
      <c r="BA14" s="90"/>
      <c r="BB14" s="37">
        <f>AM14*AO14+AR14+(AU14*AV14+AY14)</f>
        <v>300000</v>
      </c>
      <c r="BC14" s="37">
        <f>BB14/H14</f>
        <v>41322.31405</v>
      </c>
      <c r="BD14" s="37">
        <f>AP14*AQ14+AW14*AX14</f>
        <v>270000</v>
      </c>
      <c r="BE14" s="37">
        <f>BD14/H14</f>
        <v>37190.08264</v>
      </c>
      <c r="BF14" s="90"/>
      <c r="BG14" s="90"/>
      <c r="BH14" s="90"/>
      <c r="BI14" s="90"/>
      <c r="BJ14" s="90"/>
      <c r="BK14" s="90"/>
      <c r="BL14" s="90"/>
      <c r="BM14" s="90"/>
      <c r="BN14" s="90"/>
      <c r="BO14" s="90"/>
      <c r="BP14" s="90"/>
      <c r="BQ14" s="90"/>
      <c r="BR14" s="37">
        <f>BG14*BH14+BJ14*BK14+BM14*BN14+BP14*BQ14</f>
        <v>0</v>
      </c>
      <c r="BS14" s="96"/>
      <c r="BT14" s="96"/>
      <c r="BU14" s="96"/>
      <c r="BV14" s="96"/>
      <c r="BW14" s="96"/>
      <c r="BX14" s="96"/>
      <c r="BY14" s="96"/>
      <c r="BZ14" s="96"/>
      <c r="CA14" s="96"/>
      <c r="CB14" s="87">
        <f>H14*24000</f>
        <v>174240</v>
      </c>
      <c r="CC14" s="87">
        <v>24000.0</v>
      </c>
      <c r="CD14" s="87">
        <v>0.0</v>
      </c>
      <c r="CE14" s="87">
        <v>0.0</v>
      </c>
      <c r="CF14" s="87">
        <v>0.0</v>
      </c>
      <c r="CG14" s="87">
        <v>0.0</v>
      </c>
      <c r="CH14" s="87">
        <v>75000.0</v>
      </c>
      <c r="CI14" s="87">
        <v>0.0</v>
      </c>
      <c r="CJ14" s="90"/>
      <c r="CK14" s="90"/>
      <c r="CL14" s="90"/>
      <c r="CM14" s="90"/>
      <c r="CN14" s="90"/>
      <c r="CO14" s="90"/>
      <c r="CP14" s="87">
        <f>AA14*1000</f>
        <v>431000</v>
      </c>
      <c r="CQ14" s="87">
        <f>CP14/B14</f>
        <v>6157.142857</v>
      </c>
      <c r="CR14" s="87" t="s">
        <v>212</v>
      </c>
      <c r="CS14" s="37">
        <f>CB14+CD14+CF14+CH14+CI14+CK14+CL14+CM14+CN14</f>
        <v>249240</v>
      </c>
      <c r="CT14" s="78"/>
      <c r="CU14" s="87" t="s">
        <v>213</v>
      </c>
      <c r="CV14" s="90"/>
      <c r="CW14" s="90"/>
      <c r="CX14" s="90"/>
      <c r="CY14" s="90"/>
      <c r="CZ14" s="90"/>
      <c r="DA14" s="90"/>
      <c r="DB14" s="90"/>
      <c r="DC14" s="90"/>
      <c r="DD14" s="90"/>
      <c r="DE14" s="90"/>
      <c r="DF14" s="90"/>
      <c r="DG14" s="97"/>
      <c r="DH14" s="90"/>
      <c r="DI14" s="90"/>
      <c r="DJ14" s="87" t="s">
        <v>214</v>
      </c>
      <c r="DK14" s="87">
        <v>400.0</v>
      </c>
      <c r="DL14" s="87">
        <f>DK14/H14</f>
        <v>55.09641873</v>
      </c>
      <c r="DM14" s="87">
        <v>250.0</v>
      </c>
      <c r="DN14" s="87" t="s">
        <v>215</v>
      </c>
      <c r="DO14" s="90"/>
      <c r="DP14" s="87">
        <v>20000.0</v>
      </c>
      <c r="DQ14" s="90"/>
      <c r="DR14" s="90"/>
      <c r="DS14" s="90"/>
      <c r="DT14" s="95">
        <f>(DK14+DO14+DR14)/H14</f>
        <v>55.09641873</v>
      </c>
      <c r="DU14" s="90"/>
      <c r="DV14" s="90"/>
      <c r="DW14" s="87" t="s">
        <v>216</v>
      </c>
      <c r="DX14" s="37">
        <f>(DK14*DM14)+DP14</f>
        <v>120000</v>
      </c>
      <c r="DY14" s="37">
        <f>DX14/H14</f>
        <v>16528.92562</v>
      </c>
      <c r="DZ14" s="90"/>
      <c r="EA14" s="90"/>
      <c r="EB14" s="95">
        <f>EA14/H14</f>
        <v>0</v>
      </c>
      <c r="EC14" s="90"/>
      <c r="ED14" s="90"/>
      <c r="EE14" s="90"/>
      <c r="EF14" s="95">
        <f>EE14/H14</f>
        <v>0</v>
      </c>
      <c r="EG14" s="90"/>
      <c r="EH14" s="90"/>
      <c r="EI14" s="90"/>
      <c r="EJ14" s="95">
        <f>EI14/H14</f>
        <v>0</v>
      </c>
      <c r="EK14" s="90"/>
      <c r="EL14" s="90"/>
      <c r="EM14" s="90"/>
      <c r="EN14" s="90"/>
      <c r="EO14" s="90"/>
      <c r="EP14" s="90"/>
      <c r="EQ14" s="90"/>
      <c r="ER14" s="37">
        <v>0.0</v>
      </c>
      <c r="ES14" s="37">
        <f>ER14/H14</f>
        <v>0</v>
      </c>
      <c r="ET14" s="87" t="s">
        <v>217</v>
      </c>
      <c r="EU14" s="90"/>
      <c r="EV14" s="87">
        <v>20000.0</v>
      </c>
      <c r="EW14" s="90"/>
      <c r="EX14" s="90"/>
      <c r="EY14" s="90"/>
      <c r="EZ14" s="90"/>
      <c r="FA14" s="90"/>
      <c r="FB14" s="90"/>
      <c r="FC14" s="90"/>
      <c r="FD14" s="90"/>
      <c r="FE14" s="90"/>
      <c r="FF14" s="90"/>
      <c r="FG14" s="90"/>
      <c r="FH14" s="90"/>
      <c r="FI14" s="90"/>
      <c r="FJ14" s="90"/>
      <c r="FK14" s="90"/>
      <c r="FL14" s="90"/>
      <c r="FM14" s="90"/>
      <c r="FN14" s="90"/>
      <c r="FO14" s="90"/>
      <c r="FP14" s="90"/>
      <c r="FQ14" s="90"/>
      <c r="FR14" s="90"/>
      <c r="FS14" s="90"/>
      <c r="FT14" s="90"/>
      <c r="FU14" s="90"/>
      <c r="FV14" s="90"/>
      <c r="FW14" s="90"/>
      <c r="FX14" s="87" t="s">
        <v>218</v>
      </c>
      <c r="FY14" s="37">
        <f>EV14</f>
        <v>20000</v>
      </c>
      <c r="FZ14" s="37">
        <f>FY14/H14</f>
        <v>2754.820937</v>
      </c>
      <c r="GA14" s="90"/>
      <c r="GB14" s="90"/>
      <c r="GC14" s="90"/>
      <c r="GD14" s="90"/>
      <c r="GE14" s="90"/>
      <c r="GF14" s="90"/>
      <c r="GG14" s="90"/>
      <c r="GH14" s="90"/>
      <c r="GI14" s="90"/>
      <c r="GJ14" s="90"/>
      <c r="GK14" s="90"/>
      <c r="GL14" s="90"/>
      <c r="GM14" s="90"/>
      <c r="GN14" s="90"/>
      <c r="GO14" s="90"/>
      <c r="GP14" s="90"/>
      <c r="GQ14" s="90"/>
      <c r="GR14" s="98">
        <f>GB14*GC14+GH14*GI14+GN14*GO14</f>
        <v>0</v>
      </c>
      <c r="GS14" s="98">
        <f>GR14/H14</f>
        <v>0</v>
      </c>
      <c r="GT14" s="78"/>
      <c r="GU14" s="95" t="s">
        <v>208</v>
      </c>
      <c r="GV14" s="95" t="s">
        <v>219</v>
      </c>
      <c r="GW14" s="78"/>
      <c r="GX14" s="78"/>
      <c r="GY14" s="78"/>
      <c r="GZ14" s="90"/>
      <c r="HA14" s="90"/>
      <c r="HB14" s="90"/>
      <c r="HC14" s="90"/>
      <c r="HD14" s="90"/>
      <c r="HE14" s="90"/>
      <c r="HF14" s="90"/>
      <c r="HG14" s="87">
        <v>40.0</v>
      </c>
      <c r="HH14" s="87" t="s">
        <v>220</v>
      </c>
      <c r="HI14" s="99"/>
      <c r="HJ14" s="100"/>
      <c r="HK14" s="101"/>
      <c r="HL14" s="102"/>
    </row>
    <row r="15">
      <c r="A15" s="113" t="s">
        <v>221</v>
      </c>
      <c r="B15" s="121"/>
      <c r="C15" s="121"/>
      <c r="D15" s="122"/>
      <c r="E15" s="123"/>
      <c r="F15" s="123"/>
      <c r="G15" s="121"/>
      <c r="H15" s="124"/>
      <c r="I15" s="124"/>
      <c r="J15" s="125"/>
    </row>
    <row r="16">
      <c r="A16" s="114" t="s">
        <v>222</v>
      </c>
      <c r="B16" s="126"/>
      <c r="C16" s="126"/>
      <c r="D16" s="126"/>
      <c r="E16" s="117">
        <v>3.0</v>
      </c>
      <c r="F16" s="117">
        <v>1.0</v>
      </c>
      <c r="G16" s="115" t="s">
        <v>176</v>
      </c>
      <c r="H16" s="118">
        <v>8.0</v>
      </c>
      <c r="I16" s="127"/>
      <c r="J16" s="120" t="str">
        <f>DA16</f>
        <v/>
      </c>
      <c r="K16" s="87" t="s">
        <v>177</v>
      </c>
      <c r="L16" s="87" t="s">
        <v>178</v>
      </c>
      <c r="M16" s="37">
        <f>BB16+DX16+ER16+FY16+GR16+CS16</f>
        <v>438000</v>
      </c>
      <c r="N16" s="37">
        <f>M16/H16</f>
        <v>54750</v>
      </c>
      <c r="O16" s="37">
        <f>BR16</f>
        <v>700000</v>
      </c>
      <c r="P16" s="37">
        <f>O16/H16</f>
        <v>87500</v>
      </c>
      <c r="Q16" s="37">
        <f>BD16+AJ16</f>
        <v>2880000</v>
      </c>
      <c r="R16" s="37">
        <f>Q16/H16</f>
        <v>360000</v>
      </c>
      <c r="S16" s="37">
        <f>Q16-M16</f>
        <v>2442000</v>
      </c>
      <c r="T16" s="37">
        <f>S16/H16</f>
        <v>305250</v>
      </c>
      <c r="U16" s="38">
        <f>Q16-O16-M16</f>
        <v>1742000</v>
      </c>
      <c r="V16" s="38">
        <f>U16/H16</f>
        <v>217750</v>
      </c>
      <c r="W16" s="88">
        <f>H16*50</f>
        <v>400</v>
      </c>
      <c r="X16" s="88">
        <v>2400000.0</v>
      </c>
      <c r="Y16" s="89">
        <v>45233.0</v>
      </c>
      <c r="Z16" s="90"/>
      <c r="AA16" s="112">
        <v>332.0</v>
      </c>
      <c r="AB16" s="104">
        <f>AA16-W16</f>
        <v>-68</v>
      </c>
      <c r="AC16" s="104">
        <f>IF(X16&lt;&gt;"", IFS(AB16&lt;0, AB16*AF16, AB16&gt;0, 0, AB16="", ""), "")
</f>
        <v>-510000</v>
      </c>
      <c r="AD16" s="94">
        <f>IF(X16&lt;&gt;"", IFS(AB16&lt;0, AB16*AF16, AB16&gt;0, 0, AB16="", ""), 0)</f>
        <v>-510000</v>
      </c>
      <c r="AE16" s="95">
        <f>AA16/H16</f>
        <v>41.5</v>
      </c>
      <c r="AF16" s="87">
        <v>7500.0</v>
      </c>
      <c r="AG16" s="90"/>
      <c r="AH16" s="90"/>
      <c r="AI16" s="87" t="s">
        <v>223</v>
      </c>
      <c r="AJ16" s="37">
        <f>AA16*AF16</f>
        <v>2490000</v>
      </c>
      <c r="AK16" s="37">
        <f>AJ16/H16</f>
        <v>311250</v>
      </c>
      <c r="AL16" s="87" t="s">
        <v>179</v>
      </c>
      <c r="AM16" s="87">
        <v>13.0</v>
      </c>
      <c r="AN16" s="95">
        <f>AM16/H16</f>
        <v>1.625</v>
      </c>
      <c r="AO16" s="87">
        <v>0.0</v>
      </c>
      <c r="AP16" s="128">
        <v>13.0</v>
      </c>
      <c r="AQ16" s="87">
        <v>30000.0</v>
      </c>
      <c r="AR16" s="87">
        <v>0.0</v>
      </c>
      <c r="AS16" s="90"/>
      <c r="AT16" s="90"/>
      <c r="AU16" s="90"/>
      <c r="AV16" s="90"/>
      <c r="AW16" s="90"/>
      <c r="AX16" s="90"/>
      <c r="AY16" s="90"/>
      <c r="AZ16" s="90"/>
      <c r="BA16" s="90"/>
      <c r="BB16" s="37">
        <f>AM16*AO16+AR16+(AU16*AV16+AY16)</f>
        <v>0</v>
      </c>
      <c r="BC16" s="37">
        <f>BB16/H16</f>
        <v>0</v>
      </c>
      <c r="BD16" s="37">
        <f>AP16*AQ16+AW16*AX16</f>
        <v>390000</v>
      </c>
      <c r="BE16" s="37">
        <f>BD16/H16</f>
        <v>48750</v>
      </c>
      <c r="BF16" s="87" t="s">
        <v>190</v>
      </c>
      <c r="BG16" s="87">
        <v>1.0</v>
      </c>
      <c r="BH16" s="87">
        <v>700000.0</v>
      </c>
      <c r="BI16" s="90"/>
      <c r="BJ16" s="90"/>
      <c r="BK16" s="90"/>
      <c r="BL16" s="90"/>
      <c r="BM16" s="90"/>
      <c r="BN16" s="90"/>
      <c r="BO16" s="90"/>
      <c r="BP16" s="90"/>
      <c r="BQ16" s="90"/>
      <c r="BR16" s="37">
        <f>BG16*BH16+BJ16*BK16+BM16*BN16+BP16*BQ16</f>
        <v>700000</v>
      </c>
      <c r="BS16" s="96"/>
      <c r="BT16" s="96"/>
      <c r="BU16" s="96"/>
      <c r="BV16" s="96"/>
      <c r="BW16" s="96"/>
      <c r="BX16" s="96"/>
      <c r="BY16" s="96"/>
      <c r="BZ16" s="96"/>
      <c r="CA16" s="96"/>
      <c r="CB16" s="87">
        <v>170000.0</v>
      </c>
      <c r="CC16" s="87">
        <v>24000.0</v>
      </c>
      <c r="CD16" s="87">
        <f>4*22000</f>
        <v>88000</v>
      </c>
      <c r="CE16" s="87">
        <f>CD16/H16</f>
        <v>11000</v>
      </c>
      <c r="CF16" s="87">
        <v>130000.0</v>
      </c>
      <c r="CG16" s="87">
        <v>20000.0</v>
      </c>
      <c r="CH16" s="87">
        <v>0.0</v>
      </c>
      <c r="CI16" s="87">
        <v>0.0</v>
      </c>
      <c r="CJ16" s="90"/>
      <c r="CK16" s="90"/>
      <c r="CL16" s="90"/>
      <c r="CM16" s="90"/>
      <c r="CN16" s="90"/>
      <c r="CO16" s="90"/>
      <c r="CP16" s="87">
        <f>AA16*1000</f>
        <v>332000</v>
      </c>
      <c r="CQ16" s="87">
        <f>CP16/H16</f>
        <v>41500</v>
      </c>
      <c r="CR16" s="87" t="s">
        <v>224</v>
      </c>
      <c r="CS16" s="37">
        <f>CB16+CD16+CF16+CH16+CI16+CK16+CL16+CM16+CN16</f>
        <v>388000</v>
      </c>
      <c r="CT16" s="95" t="s">
        <v>225</v>
      </c>
      <c r="CU16" s="87" t="s">
        <v>226</v>
      </c>
      <c r="CV16" s="90"/>
      <c r="CW16" s="90"/>
      <c r="CX16" s="90"/>
      <c r="CY16" s="90"/>
      <c r="CZ16" s="90"/>
      <c r="DA16" s="90"/>
      <c r="DB16" s="90"/>
      <c r="DC16" s="90"/>
      <c r="DD16" s="90"/>
      <c r="DE16" s="90"/>
      <c r="DF16" s="90"/>
      <c r="DG16" s="97"/>
      <c r="DH16" s="90"/>
      <c r="DI16" s="90"/>
      <c r="DJ16" s="87" t="s">
        <v>227</v>
      </c>
      <c r="DK16" s="87">
        <v>200.0</v>
      </c>
      <c r="DL16" s="87">
        <f>DK16/H16</f>
        <v>25</v>
      </c>
      <c r="DM16" s="87">
        <f>50000/DK16</f>
        <v>250</v>
      </c>
      <c r="DN16" s="90"/>
      <c r="DO16" s="90"/>
      <c r="DP16" s="90"/>
      <c r="DQ16" s="90"/>
      <c r="DR16" s="90"/>
      <c r="DS16" s="90"/>
      <c r="DT16" s="95">
        <f>(DK16+DO16+DR16)/H16</f>
        <v>25</v>
      </c>
      <c r="DU16" s="90"/>
      <c r="DV16" s="90"/>
      <c r="DW16" s="90"/>
      <c r="DX16" s="37">
        <f>DK16*DM16+DP16+DS16</f>
        <v>50000</v>
      </c>
      <c r="DY16" s="37">
        <f>DX16/H16</f>
        <v>6250</v>
      </c>
      <c r="DZ16" s="90"/>
      <c r="EA16" s="90"/>
      <c r="EB16" s="95">
        <f>EA16/H16</f>
        <v>0</v>
      </c>
      <c r="EC16" s="90"/>
      <c r="ED16" s="90"/>
      <c r="EE16" s="90"/>
      <c r="EF16" s="95">
        <f>EE16/H16</f>
        <v>0</v>
      </c>
      <c r="EG16" s="90"/>
      <c r="EH16" s="90"/>
      <c r="EI16" s="90"/>
      <c r="EJ16" s="95">
        <f>EI16/H16</f>
        <v>0</v>
      </c>
      <c r="EK16" s="90"/>
      <c r="EL16" s="90"/>
      <c r="EM16" s="90"/>
      <c r="EN16" s="90"/>
      <c r="EO16" s="90"/>
      <c r="EP16" s="90"/>
      <c r="EQ16" s="90"/>
      <c r="ER16" s="37">
        <v>0.0</v>
      </c>
      <c r="ES16" s="37">
        <f>ER16/H16</f>
        <v>0</v>
      </c>
      <c r="ET16" s="90"/>
      <c r="EU16" s="90"/>
      <c r="EV16" s="90"/>
      <c r="EW16" s="90"/>
      <c r="EX16" s="90"/>
      <c r="EY16" s="90"/>
      <c r="EZ16" s="90"/>
      <c r="FA16" s="90"/>
      <c r="FB16" s="90"/>
      <c r="FC16" s="90"/>
      <c r="FD16" s="90"/>
      <c r="FE16" s="90"/>
      <c r="FF16" s="90"/>
      <c r="FG16" s="90"/>
      <c r="FH16" s="90"/>
      <c r="FI16" s="90"/>
      <c r="FJ16" s="90"/>
      <c r="FK16" s="90"/>
      <c r="FL16" s="90"/>
      <c r="FM16" s="90"/>
      <c r="FN16" s="90"/>
      <c r="FO16" s="90"/>
      <c r="FP16" s="90"/>
      <c r="FQ16" s="90"/>
      <c r="FR16" s="90"/>
      <c r="FS16" s="90"/>
      <c r="FT16" s="90"/>
      <c r="FU16" s="90"/>
      <c r="FV16" s="90"/>
      <c r="FW16" s="90"/>
      <c r="FX16" s="90"/>
      <c r="FY16" s="37">
        <v>0.0</v>
      </c>
      <c r="FZ16" s="37">
        <f>FY16/H16</f>
        <v>0</v>
      </c>
      <c r="GA16" s="90"/>
      <c r="GB16" s="90"/>
      <c r="GC16" s="90"/>
      <c r="GD16" s="90"/>
      <c r="GE16" s="90"/>
      <c r="GF16" s="90"/>
      <c r="GG16" s="90"/>
      <c r="GH16" s="90"/>
      <c r="GI16" s="90"/>
      <c r="GJ16" s="90"/>
      <c r="GK16" s="90"/>
      <c r="GL16" s="90"/>
      <c r="GM16" s="90"/>
      <c r="GN16" s="90"/>
      <c r="GO16" s="90"/>
      <c r="GP16" s="90"/>
      <c r="GQ16" s="90"/>
      <c r="GR16" s="129">
        <f>GC16+GI16</f>
        <v>0</v>
      </c>
      <c r="GS16" s="98">
        <f>GR16/H16</f>
        <v>0</v>
      </c>
      <c r="GT16" s="78"/>
      <c r="GU16" s="95" t="s">
        <v>208</v>
      </c>
      <c r="GV16" s="95" t="s">
        <v>228</v>
      </c>
      <c r="GW16" s="78"/>
      <c r="GX16" s="78"/>
      <c r="GY16" s="78"/>
      <c r="GZ16" s="90"/>
      <c r="HA16" s="90"/>
      <c r="HB16" s="90"/>
      <c r="HC16" s="90"/>
      <c r="HD16" s="90"/>
      <c r="HE16" s="90"/>
      <c r="HF16" s="90"/>
      <c r="HG16" s="87">
        <v>0.0</v>
      </c>
      <c r="HH16" s="87" t="s">
        <v>229</v>
      </c>
      <c r="HI16" s="99"/>
      <c r="HJ16" s="100"/>
      <c r="HK16" s="101"/>
      <c r="HL16" s="102"/>
    </row>
    <row r="17">
      <c r="A17" s="113" t="s">
        <v>230</v>
      </c>
      <c r="B17" s="125"/>
      <c r="C17" s="125"/>
      <c r="D17" s="125"/>
      <c r="E17" s="123"/>
      <c r="F17" s="123"/>
      <c r="G17" s="121"/>
      <c r="H17" s="124"/>
      <c r="I17" s="125"/>
      <c r="J17" s="125"/>
    </row>
    <row r="18">
      <c r="A18" s="114" t="s">
        <v>175</v>
      </c>
      <c r="B18" s="115">
        <v>53.0</v>
      </c>
      <c r="C18" s="115">
        <v>13.0</v>
      </c>
      <c r="D18" s="115">
        <v>7.0</v>
      </c>
      <c r="E18" s="117">
        <v>4.0</v>
      </c>
      <c r="F18" s="117">
        <v>2.0</v>
      </c>
      <c r="G18" s="115" t="s">
        <v>176</v>
      </c>
      <c r="H18" s="118">
        <v>6.6</v>
      </c>
      <c r="I18" s="119">
        <f t="shared" ref="I18:I26" si="49">H18/D18</f>
        <v>0.9428571429</v>
      </c>
      <c r="J18" s="120" t="str">
        <f t="shared" ref="J18:J26" si="50">DA18</f>
        <v/>
      </c>
      <c r="K18" s="87" t="s">
        <v>177</v>
      </c>
      <c r="L18" s="87" t="s">
        <v>178</v>
      </c>
      <c r="M18" s="37">
        <f t="shared" ref="M18:M26" si="51">BB18+DX18+ER18+FY18+GR18+CS18</f>
        <v>1027200</v>
      </c>
      <c r="N18" s="37">
        <f t="shared" ref="N18:N26" si="52">M18/H18</f>
        <v>155636.3636</v>
      </c>
      <c r="O18" s="37">
        <f t="shared" ref="O18:O26" si="53">BR18</f>
        <v>935000</v>
      </c>
      <c r="P18" s="37">
        <f t="shared" ref="P18:P26" si="54">O18/H18</f>
        <v>141666.6667</v>
      </c>
      <c r="Q18" s="37">
        <f t="shared" ref="Q18:Q26" si="55">BD18+AJ18</f>
        <v>3161250</v>
      </c>
      <c r="R18" s="37">
        <f t="shared" ref="R18:R26" si="56">Q18/H18</f>
        <v>478977.2727</v>
      </c>
      <c r="S18" s="37">
        <f t="shared" ref="S18:S26" si="57">Q18-M18</f>
        <v>2134050</v>
      </c>
      <c r="T18" s="37">
        <f t="shared" ref="T18:T26" si="58">S18/H18</f>
        <v>323340.9091</v>
      </c>
      <c r="U18" s="38">
        <f t="shared" ref="U18:U26" si="59">Q18-O18-M18</f>
        <v>1199050</v>
      </c>
      <c r="V18" s="38">
        <f t="shared" ref="V18:V26" si="60">U18/H18</f>
        <v>181674.2424</v>
      </c>
      <c r="W18" s="88">
        <f t="shared" ref="W18:W26" si="61">40*H18</f>
        <v>264</v>
      </c>
      <c r="X18" s="88">
        <v>0.0</v>
      </c>
      <c r="Y18" s="96"/>
      <c r="Z18" s="90"/>
      <c r="AA18" s="112">
        <v>421.5</v>
      </c>
      <c r="AB18" s="92">
        <f t="shared" ref="AB18:AB26" si="62">AA18-W18</f>
        <v>157.5</v>
      </c>
      <c r="AC18" s="93">
        <f>IF(X18&lt;&gt;"", IFS(AB18&lt;0, AB18*AF18, AB18&gt;0, 0, AB18="", ""), "")
</f>
        <v>0</v>
      </c>
      <c r="AD18" s="94">
        <f t="shared" ref="AD18:AD26" si="63">IF(X18&lt;&gt;"", IFS(AB18&lt;0, AB18*AF18, AB18&gt;0, 0, AB18="", ""), 0)</f>
        <v>0</v>
      </c>
      <c r="AE18" s="95">
        <f t="shared" ref="AE18:AE26" si="64">AA18/H18</f>
        <v>63.86363636</v>
      </c>
      <c r="AF18" s="87">
        <v>7500.0</v>
      </c>
      <c r="AG18" s="90"/>
      <c r="AH18" s="90"/>
      <c r="AI18" s="90"/>
      <c r="AJ18" s="37">
        <f t="shared" ref="AJ18:AJ26" si="65">AA18*AF18</f>
        <v>3161250</v>
      </c>
      <c r="AK18" s="37">
        <f t="shared" ref="AK18:AK26" si="66">AJ18/H18</f>
        <v>478977.2727</v>
      </c>
      <c r="AL18" s="87" t="s">
        <v>179</v>
      </c>
      <c r="AM18" s="87">
        <v>30.0</v>
      </c>
      <c r="AN18" s="95">
        <f t="shared" ref="AN18:AN26" si="67">AM18/H18</f>
        <v>4.545454545</v>
      </c>
      <c r="AO18" s="87">
        <f>200000/AM18</f>
        <v>6666.666667</v>
      </c>
      <c r="AP18" s="90"/>
      <c r="AQ18" s="90"/>
      <c r="AR18" s="87">
        <f>150000*2</f>
        <v>300000</v>
      </c>
      <c r="AS18" s="90"/>
      <c r="AT18" s="90"/>
      <c r="AU18" s="90"/>
      <c r="AV18" s="90"/>
      <c r="AW18" s="90"/>
      <c r="AX18" s="90"/>
      <c r="AY18" s="90"/>
      <c r="AZ18" s="90"/>
      <c r="BA18" s="90"/>
      <c r="BB18" s="37">
        <f t="shared" ref="BB18:BB21" si="68">AM18*AO18+AR18+(AU18*AV18+AY18)</f>
        <v>500000</v>
      </c>
      <c r="BC18" s="37">
        <f t="shared" ref="BC18:BC21" si="69">BB18/H18</f>
        <v>75757.57576</v>
      </c>
      <c r="BD18" s="37">
        <f>AP18*AQ18+AW18*AX18</f>
        <v>0</v>
      </c>
      <c r="BE18" s="37">
        <f t="shared" ref="BE18:BE21" si="70">BD18/H18</f>
        <v>0</v>
      </c>
      <c r="BF18" s="87" t="s">
        <v>231</v>
      </c>
      <c r="BG18" s="87">
        <v>1.0</v>
      </c>
      <c r="BH18" s="87">
        <v>935000.0</v>
      </c>
      <c r="BI18" s="90"/>
      <c r="BJ18" s="90"/>
      <c r="BK18" s="90"/>
      <c r="BL18" s="90"/>
      <c r="BM18" s="90"/>
      <c r="BN18" s="90"/>
      <c r="BO18" s="90"/>
      <c r="BP18" s="90"/>
      <c r="BQ18" s="90"/>
      <c r="BR18" s="37">
        <f t="shared" ref="BR18:BR26" si="71">BG18*BH18+BJ18*BK18+BM18*BN18+BP18*BQ18</f>
        <v>935000</v>
      </c>
      <c r="BS18" s="96"/>
      <c r="BT18" s="96"/>
      <c r="BU18" s="96"/>
      <c r="BV18" s="96"/>
      <c r="BW18" s="96"/>
      <c r="BX18" s="96"/>
      <c r="BY18" s="96"/>
      <c r="BZ18" s="96"/>
      <c r="CA18" s="96"/>
      <c r="CB18" s="87">
        <v>175000.0</v>
      </c>
      <c r="CC18" s="87">
        <f t="shared" ref="CC18:CC19" si="72">CB18/H18</f>
        <v>26515.15152</v>
      </c>
      <c r="CD18" s="87">
        <f t="shared" ref="CD18:CD19" si="73">5*22000</f>
        <v>110000</v>
      </c>
      <c r="CE18" s="87">
        <f t="shared" ref="CE18:CE19" si="74">CD18/H18</f>
        <v>16666.66667</v>
      </c>
      <c r="CF18" s="87">
        <f>17000*H18</f>
        <v>112200</v>
      </c>
      <c r="CG18" s="87">
        <v>17000.0</v>
      </c>
      <c r="CH18" s="87">
        <v>0.0</v>
      </c>
      <c r="CI18" s="87">
        <v>0.0</v>
      </c>
      <c r="CJ18" s="90"/>
      <c r="CK18" s="90"/>
      <c r="CL18" s="90"/>
      <c r="CM18" s="90"/>
      <c r="CN18" s="90"/>
      <c r="CO18" s="90"/>
      <c r="CP18" s="87">
        <f t="shared" ref="CP18:CP26" si="75">AA18*1000</f>
        <v>421500</v>
      </c>
      <c r="CQ18" s="87">
        <f t="shared" ref="CQ18:CQ26" si="76">CP18/H18</f>
        <v>63863.63636</v>
      </c>
      <c r="CR18" s="87" t="s">
        <v>232</v>
      </c>
      <c r="CS18" s="37">
        <f t="shared" ref="CS18:CS26" si="77">CB18+CD18+CF18+CH18+CI18+CK18+CL18+CM18+CN18</f>
        <v>397200</v>
      </c>
      <c r="CT18" s="95" t="s">
        <v>225</v>
      </c>
      <c r="CU18" s="87" t="s">
        <v>213</v>
      </c>
      <c r="CV18" s="90"/>
      <c r="CW18" s="90"/>
      <c r="CX18" s="90"/>
      <c r="CY18" s="90"/>
      <c r="CZ18" s="90"/>
      <c r="DA18" s="90"/>
      <c r="DB18" s="90"/>
      <c r="DC18" s="90"/>
      <c r="DD18" s="90"/>
      <c r="DE18" s="90"/>
      <c r="DF18" s="90"/>
      <c r="DG18" s="97"/>
      <c r="DH18" s="90"/>
      <c r="DI18" s="90"/>
      <c r="DJ18" s="87" t="s">
        <v>227</v>
      </c>
      <c r="DK18" s="87">
        <f>40*20</f>
        <v>800</v>
      </c>
      <c r="DL18" s="87">
        <f t="shared" ref="DL18:DL26" si="78">DK18/H18</f>
        <v>121.2121212</v>
      </c>
      <c r="DM18" s="87">
        <f>120000/DK18</f>
        <v>150</v>
      </c>
      <c r="DN18" s="90"/>
      <c r="DO18" s="90"/>
      <c r="DP18" s="90"/>
      <c r="DQ18" s="90"/>
      <c r="DR18" s="90"/>
      <c r="DS18" s="90"/>
      <c r="DT18" s="95">
        <f t="shared" ref="DT18:DT19" si="79">(DK18+DO18+DR18)/H18</f>
        <v>121.2121212</v>
      </c>
      <c r="DU18" s="90"/>
      <c r="DV18" s="90"/>
      <c r="DW18" s="87" t="s">
        <v>233</v>
      </c>
      <c r="DX18" s="37">
        <f>DK18*DM18+DP18+DS18</f>
        <v>120000</v>
      </c>
      <c r="DY18" s="37">
        <f>DX18/H18</f>
        <v>18181.81818</v>
      </c>
      <c r="DZ18" s="90"/>
      <c r="EA18" s="90"/>
      <c r="EB18" s="95">
        <f t="shared" ref="EB18:EB26" si="80">EA18/H18</f>
        <v>0</v>
      </c>
      <c r="EC18" s="90"/>
      <c r="ED18" s="90"/>
      <c r="EE18" s="90"/>
      <c r="EF18" s="95">
        <f t="shared" ref="EF18:EF26" si="81">EE18/H18</f>
        <v>0</v>
      </c>
      <c r="EG18" s="90"/>
      <c r="EH18" s="90"/>
      <c r="EI18" s="90"/>
      <c r="EJ18" s="95">
        <f t="shared" ref="EJ18:EJ26" si="82">EI18/H18</f>
        <v>0</v>
      </c>
      <c r="EK18" s="90"/>
      <c r="EL18" s="90"/>
      <c r="EM18" s="90"/>
      <c r="EN18" s="90"/>
      <c r="EO18" s="90"/>
      <c r="EP18" s="90"/>
      <c r="EQ18" s="90"/>
      <c r="ER18" s="37">
        <v>0.0</v>
      </c>
      <c r="ES18" s="37">
        <f t="shared" ref="ES18:ES26" si="83">ER18/H18</f>
        <v>0</v>
      </c>
      <c r="ET18" s="87" t="s">
        <v>217</v>
      </c>
      <c r="EU18" s="87">
        <v>4.0</v>
      </c>
      <c r="EV18" s="87">
        <v>10000.0</v>
      </c>
      <c r="EW18" s="90"/>
      <c r="EX18" s="90"/>
      <c r="EY18" s="90"/>
      <c r="EZ18" s="90"/>
      <c r="FA18" s="90"/>
      <c r="FB18" s="90"/>
      <c r="FC18" s="90"/>
      <c r="FD18" s="90"/>
      <c r="FE18" s="90"/>
      <c r="FF18" s="90"/>
      <c r="FG18" s="90"/>
      <c r="FH18" s="90"/>
      <c r="FI18" s="90"/>
      <c r="FJ18" s="90"/>
      <c r="FK18" s="90"/>
      <c r="FL18" s="90"/>
      <c r="FM18" s="90"/>
      <c r="FN18" s="90"/>
      <c r="FO18" s="90"/>
      <c r="FP18" s="90"/>
      <c r="FQ18" s="90"/>
      <c r="FR18" s="90"/>
      <c r="FS18" s="90"/>
      <c r="FT18" s="90"/>
      <c r="FU18" s="90"/>
      <c r="FV18" s="90"/>
      <c r="FW18" s="90"/>
      <c r="FX18" s="87" t="s">
        <v>234</v>
      </c>
      <c r="FY18" s="37">
        <f>EV18</f>
        <v>10000</v>
      </c>
      <c r="FZ18" s="37">
        <f>FY18/H18</f>
        <v>1515.151515</v>
      </c>
      <c r="GA18" s="90"/>
      <c r="GB18" s="90"/>
      <c r="GC18" s="90"/>
      <c r="GD18" s="90"/>
      <c r="GE18" s="90"/>
      <c r="GF18" s="90"/>
      <c r="GG18" s="130"/>
      <c r="GH18" s="90"/>
      <c r="GI18" s="90"/>
      <c r="GJ18" s="90"/>
      <c r="GK18" s="90"/>
      <c r="GL18" s="90"/>
      <c r="GM18" s="90"/>
      <c r="GN18" s="90"/>
      <c r="GO18" s="90"/>
      <c r="GP18" s="90"/>
      <c r="GQ18" s="90"/>
      <c r="GR18" s="98">
        <f t="shared" ref="GR18:GR26" si="84">GB18*GC18+GH18*GI18+GN18*GO18</f>
        <v>0</v>
      </c>
      <c r="GS18" s="98">
        <f t="shared" ref="GS18:GS26" si="85">GR18/H18</f>
        <v>0</v>
      </c>
      <c r="GT18" s="78"/>
      <c r="GU18" s="95" t="s">
        <v>208</v>
      </c>
      <c r="GV18" s="95" t="s">
        <v>228</v>
      </c>
      <c r="GW18" s="78"/>
      <c r="GX18" s="78"/>
      <c r="GY18" s="78"/>
      <c r="GZ18" s="90"/>
      <c r="HA18" s="90"/>
      <c r="HB18" s="90"/>
      <c r="HC18" s="90"/>
      <c r="HD18" s="90"/>
      <c r="HE18" s="90"/>
      <c r="HF18" s="90"/>
      <c r="HG18" s="87">
        <v>40.0</v>
      </c>
      <c r="HH18" s="87" t="s">
        <v>220</v>
      </c>
      <c r="HI18" s="99"/>
      <c r="HJ18" s="100"/>
      <c r="HK18" s="101"/>
      <c r="HL18" s="102"/>
    </row>
    <row r="19">
      <c r="A19" s="114" t="s">
        <v>186</v>
      </c>
      <c r="B19" s="115">
        <v>58.0</v>
      </c>
      <c r="C19" s="115">
        <v>112.0</v>
      </c>
      <c r="D19" s="115">
        <v>90.0</v>
      </c>
      <c r="E19" s="117">
        <v>4.0</v>
      </c>
      <c r="F19" s="117">
        <v>2.0</v>
      </c>
      <c r="G19" s="115" t="s">
        <v>176</v>
      </c>
      <c r="H19" s="118">
        <v>10.5</v>
      </c>
      <c r="I19" s="119">
        <f t="shared" si="49"/>
        <v>0.1166666667</v>
      </c>
      <c r="J19" s="120" t="str">
        <f t="shared" si="50"/>
        <v/>
      </c>
      <c r="K19" s="87" t="s">
        <v>177</v>
      </c>
      <c r="L19" s="87" t="s">
        <v>178</v>
      </c>
      <c r="M19" s="37">
        <f t="shared" si="51"/>
        <v>780100</v>
      </c>
      <c r="N19" s="37">
        <f t="shared" si="52"/>
        <v>74295.2381</v>
      </c>
      <c r="O19" s="37">
        <f t="shared" si="53"/>
        <v>0</v>
      </c>
      <c r="P19" s="37">
        <f t="shared" si="54"/>
        <v>0</v>
      </c>
      <c r="Q19" s="37">
        <f t="shared" si="55"/>
        <v>4252000</v>
      </c>
      <c r="R19" s="37">
        <f t="shared" si="56"/>
        <v>404952.381</v>
      </c>
      <c r="S19" s="37">
        <f t="shared" si="57"/>
        <v>3471900</v>
      </c>
      <c r="T19" s="37">
        <f t="shared" si="58"/>
        <v>330657.1429</v>
      </c>
      <c r="U19" s="38">
        <f t="shared" si="59"/>
        <v>3471900</v>
      </c>
      <c r="V19" s="38">
        <f t="shared" si="60"/>
        <v>330657.1429</v>
      </c>
      <c r="W19" s="88">
        <f t="shared" si="61"/>
        <v>420</v>
      </c>
      <c r="X19" s="88">
        <v>0.0</v>
      </c>
      <c r="Y19" s="96"/>
      <c r="Z19" s="90"/>
      <c r="AA19" s="112">
        <v>476.8</v>
      </c>
      <c r="AB19" s="104">
        <f t="shared" si="62"/>
        <v>56.8</v>
      </c>
      <c r="AC19" s="104">
        <f t="shared" ref="AC19:AC26" si="86">ifs(AB19&lt;0,AB19*AF19,AB19&gt;0,0,AB19="","")</f>
        <v>0</v>
      </c>
      <c r="AD19" s="94">
        <f t="shared" si="63"/>
        <v>0</v>
      </c>
      <c r="AE19" s="95">
        <f t="shared" si="64"/>
        <v>45.40952381</v>
      </c>
      <c r="AF19" s="87">
        <v>7500.0</v>
      </c>
      <c r="AG19" s="90"/>
      <c r="AH19" s="90"/>
      <c r="AI19" s="90"/>
      <c r="AJ19" s="37">
        <f t="shared" si="65"/>
        <v>3576000</v>
      </c>
      <c r="AK19" s="37">
        <f t="shared" si="66"/>
        <v>340571.4286</v>
      </c>
      <c r="AL19" s="87" t="s">
        <v>179</v>
      </c>
      <c r="AM19" s="87">
        <v>28.0</v>
      </c>
      <c r="AN19" s="95">
        <f t="shared" si="67"/>
        <v>2.666666667</v>
      </c>
      <c r="AO19" s="87">
        <v>7000.0</v>
      </c>
      <c r="AP19" s="87">
        <v>26.0</v>
      </c>
      <c r="AQ19" s="87">
        <v>26000.0</v>
      </c>
      <c r="AR19" s="87">
        <v>30600.0</v>
      </c>
      <c r="AS19" s="90"/>
      <c r="AT19" s="90"/>
      <c r="AU19" s="90"/>
      <c r="AV19" s="90"/>
      <c r="AW19" s="90"/>
      <c r="AX19" s="90"/>
      <c r="AY19" s="90"/>
      <c r="AZ19" s="90"/>
      <c r="BA19" s="90"/>
      <c r="BB19" s="37">
        <f t="shared" si="68"/>
        <v>226600</v>
      </c>
      <c r="BC19" s="37">
        <f t="shared" si="69"/>
        <v>21580.95238</v>
      </c>
      <c r="BD19" s="37">
        <f>(AP19*AQ19)+(AS19)+(AW19*AX19)+(AY19)</f>
        <v>676000</v>
      </c>
      <c r="BE19" s="37">
        <f t="shared" si="70"/>
        <v>64380.95238</v>
      </c>
      <c r="BF19" s="90"/>
      <c r="BG19" s="90"/>
      <c r="BH19" s="90"/>
      <c r="BI19" s="90"/>
      <c r="BJ19" s="90"/>
      <c r="BK19" s="90"/>
      <c r="BL19" s="90"/>
      <c r="BM19" s="90"/>
      <c r="BN19" s="90"/>
      <c r="BO19" s="90"/>
      <c r="BP19" s="90"/>
      <c r="BQ19" s="90"/>
      <c r="BR19" s="37">
        <f t="shared" si="71"/>
        <v>0</v>
      </c>
      <c r="BS19" s="96"/>
      <c r="BT19" s="96"/>
      <c r="BU19" s="96"/>
      <c r="BV19" s="96"/>
      <c r="BW19" s="96"/>
      <c r="BX19" s="96"/>
      <c r="BY19" s="96"/>
      <c r="BZ19" s="96"/>
      <c r="CA19" s="96"/>
      <c r="CB19" s="87">
        <v>250000.0</v>
      </c>
      <c r="CC19" s="87">
        <f t="shared" si="72"/>
        <v>23809.52381</v>
      </c>
      <c r="CD19" s="87">
        <f t="shared" si="73"/>
        <v>110000</v>
      </c>
      <c r="CE19" s="87">
        <f t="shared" si="74"/>
        <v>10476.19048</v>
      </c>
      <c r="CF19" s="87">
        <f>H19*17000</f>
        <v>178500</v>
      </c>
      <c r="CG19" s="87">
        <v>17000.0</v>
      </c>
      <c r="CH19" s="87">
        <v>15000.0</v>
      </c>
      <c r="CI19" s="87">
        <v>0.0</v>
      </c>
      <c r="CJ19" s="90"/>
      <c r="CK19" s="90"/>
      <c r="CL19" s="90"/>
      <c r="CM19" s="90"/>
      <c r="CN19" s="90"/>
      <c r="CO19" s="90"/>
      <c r="CP19" s="87">
        <f t="shared" si="75"/>
        <v>476800</v>
      </c>
      <c r="CQ19" s="87">
        <f t="shared" si="76"/>
        <v>45409.52381</v>
      </c>
      <c r="CR19" s="87" t="s">
        <v>232</v>
      </c>
      <c r="CS19" s="37">
        <f t="shared" si="77"/>
        <v>553500</v>
      </c>
      <c r="CT19" s="95" t="s">
        <v>225</v>
      </c>
      <c r="CU19" s="87" t="s">
        <v>213</v>
      </c>
      <c r="CV19" s="90"/>
      <c r="CW19" s="90"/>
      <c r="CX19" s="90"/>
      <c r="CY19" s="90"/>
      <c r="CZ19" s="90"/>
      <c r="DA19" s="90"/>
      <c r="DB19" s="90"/>
      <c r="DC19" s="90"/>
      <c r="DD19" s="90"/>
      <c r="DE19" s="90"/>
      <c r="DF19" s="90"/>
      <c r="DG19" s="97"/>
      <c r="DH19" s="90"/>
      <c r="DI19" s="90"/>
      <c r="DJ19" s="87" t="s">
        <v>227</v>
      </c>
      <c r="DK19" s="87">
        <v>400.0</v>
      </c>
      <c r="DL19" s="87">
        <f t="shared" si="78"/>
        <v>38.0952381</v>
      </c>
      <c r="DM19" s="87">
        <f>100000/DK19</f>
        <v>250</v>
      </c>
      <c r="DN19" s="90"/>
      <c r="DO19" s="90"/>
      <c r="DP19" s="90"/>
      <c r="DQ19" s="90"/>
      <c r="DR19" s="90"/>
      <c r="DS19" s="90"/>
      <c r="DT19" s="95">
        <f t="shared" si="79"/>
        <v>38.0952381</v>
      </c>
      <c r="DU19" s="90"/>
      <c r="DV19" s="90"/>
      <c r="DW19" s="90"/>
      <c r="DX19" s="37">
        <v>0.0</v>
      </c>
      <c r="DY19" s="37">
        <v>0.0</v>
      </c>
      <c r="DZ19" s="90"/>
      <c r="EA19" s="90"/>
      <c r="EB19" s="95">
        <f t="shared" si="80"/>
        <v>0</v>
      </c>
      <c r="EC19" s="90"/>
      <c r="ED19" s="90"/>
      <c r="EE19" s="90"/>
      <c r="EF19" s="95">
        <f t="shared" si="81"/>
        <v>0</v>
      </c>
      <c r="EG19" s="90"/>
      <c r="EH19" s="90"/>
      <c r="EI19" s="90"/>
      <c r="EJ19" s="95">
        <f t="shared" si="82"/>
        <v>0</v>
      </c>
      <c r="EK19" s="90"/>
      <c r="EL19" s="90"/>
      <c r="EM19" s="90"/>
      <c r="EN19" s="90"/>
      <c r="EO19" s="90"/>
      <c r="EP19" s="90"/>
      <c r="EQ19" s="90"/>
      <c r="ER19" s="37">
        <v>0.0</v>
      </c>
      <c r="ES19" s="37">
        <f t="shared" si="83"/>
        <v>0</v>
      </c>
      <c r="ET19" s="87" t="s">
        <v>235</v>
      </c>
      <c r="EU19" s="87">
        <v>7.0</v>
      </c>
      <c r="EV19" s="90"/>
      <c r="EW19" s="90"/>
      <c r="EX19" s="90"/>
      <c r="EY19" s="90"/>
      <c r="EZ19" s="90"/>
      <c r="FA19" s="90"/>
      <c r="FB19" s="90"/>
      <c r="FC19" s="90"/>
      <c r="FD19" s="90"/>
      <c r="FE19" s="90"/>
      <c r="FF19" s="90"/>
      <c r="FG19" s="90"/>
      <c r="FH19" s="90"/>
      <c r="FI19" s="90"/>
      <c r="FJ19" s="90"/>
      <c r="FK19" s="90"/>
      <c r="FL19" s="90"/>
      <c r="FM19" s="90"/>
      <c r="FN19" s="90"/>
      <c r="FO19" s="90"/>
      <c r="FP19" s="90"/>
      <c r="FQ19" s="90"/>
      <c r="FR19" s="90"/>
      <c r="FS19" s="90"/>
      <c r="FT19" s="90"/>
      <c r="FU19" s="90"/>
      <c r="FV19" s="90"/>
      <c r="FW19" s="90"/>
      <c r="FX19" s="87" t="s">
        <v>236</v>
      </c>
      <c r="FY19" s="37">
        <v>0.0</v>
      </c>
      <c r="FZ19" s="37">
        <v>0.0</v>
      </c>
      <c r="GA19" s="90"/>
      <c r="GB19" s="90"/>
      <c r="GC19" s="90"/>
      <c r="GD19" s="90"/>
      <c r="GE19" s="90"/>
      <c r="GF19" s="90"/>
      <c r="GG19" s="90"/>
      <c r="GH19" s="90"/>
      <c r="GI19" s="90"/>
      <c r="GJ19" s="90"/>
      <c r="GK19" s="90"/>
      <c r="GL19" s="90"/>
      <c r="GM19" s="90"/>
      <c r="GN19" s="90"/>
      <c r="GO19" s="90"/>
      <c r="GP19" s="90"/>
      <c r="GQ19" s="90"/>
      <c r="GR19" s="98">
        <f t="shared" si="84"/>
        <v>0</v>
      </c>
      <c r="GS19" s="98">
        <f t="shared" si="85"/>
        <v>0</v>
      </c>
      <c r="GT19" s="78"/>
      <c r="GU19" s="95" t="s">
        <v>208</v>
      </c>
      <c r="GV19" s="95" t="s">
        <v>219</v>
      </c>
      <c r="GW19" s="78"/>
      <c r="GX19" s="78"/>
      <c r="GY19" s="78"/>
      <c r="GZ19" s="90"/>
      <c r="HA19" s="90"/>
      <c r="HB19" s="90"/>
      <c r="HC19" s="90"/>
      <c r="HD19" s="90"/>
      <c r="HE19" s="90"/>
      <c r="HF19" s="90"/>
      <c r="HG19" s="87">
        <v>40.0</v>
      </c>
      <c r="HH19" s="87" t="s">
        <v>220</v>
      </c>
      <c r="HI19" s="99"/>
      <c r="HJ19" s="100"/>
      <c r="HK19" s="101"/>
      <c r="HL19" s="102"/>
    </row>
    <row r="20">
      <c r="A20" s="114" t="s">
        <v>189</v>
      </c>
      <c r="B20" s="115">
        <v>65.0</v>
      </c>
      <c r="C20" s="115">
        <v>25.0</v>
      </c>
      <c r="D20" s="115">
        <v>20.0</v>
      </c>
      <c r="E20" s="117">
        <v>4.0</v>
      </c>
      <c r="F20" s="117">
        <v>2.0</v>
      </c>
      <c r="G20" s="115" t="s">
        <v>176</v>
      </c>
      <c r="H20" s="118">
        <v>4.8</v>
      </c>
      <c r="I20" s="119">
        <f t="shared" si="49"/>
        <v>0.24</v>
      </c>
      <c r="J20" s="120" t="str">
        <f t="shared" si="50"/>
        <v/>
      </c>
      <c r="K20" s="87" t="s">
        <v>177</v>
      </c>
      <c r="L20" s="87" t="s">
        <v>178</v>
      </c>
      <c r="M20" s="37">
        <f t="shared" si="51"/>
        <v>335200</v>
      </c>
      <c r="N20" s="37">
        <f t="shared" si="52"/>
        <v>69833.33333</v>
      </c>
      <c r="O20" s="37">
        <f t="shared" si="53"/>
        <v>0</v>
      </c>
      <c r="P20" s="37">
        <f t="shared" si="54"/>
        <v>0</v>
      </c>
      <c r="Q20" s="37">
        <f t="shared" si="55"/>
        <v>2366250</v>
      </c>
      <c r="R20" s="37">
        <f t="shared" si="56"/>
        <v>492968.75</v>
      </c>
      <c r="S20" s="37">
        <f t="shared" si="57"/>
        <v>2031050</v>
      </c>
      <c r="T20" s="37">
        <f t="shared" si="58"/>
        <v>423135.4167</v>
      </c>
      <c r="U20" s="38">
        <f t="shared" si="59"/>
        <v>2031050</v>
      </c>
      <c r="V20" s="38">
        <f t="shared" si="60"/>
        <v>423135.4167</v>
      </c>
      <c r="W20" s="88">
        <f t="shared" si="61"/>
        <v>192</v>
      </c>
      <c r="X20" s="88">
        <v>0.0</v>
      </c>
      <c r="Y20" s="96"/>
      <c r="Z20" s="90"/>
      <c r="AA20" s="112">
        <v>315.5</v>
      </c>
      <c r="AB20" s="92">
        <f t="shared" si="62"/>
        <v>123.5</v>
      </c>
      <c r="AC20" s="93">
        <f t="shared" si="86"/>
        <v>0</v>
      </c>
      <c r="AD20" s="94">
        <f t="shared" si="63"/>
        <v>0</v>
      </c>
      <c r="AE20" s="95">
        <f t="shared" si="64"/>
        <v>65.72916667</v>
      </c>
      <c r="AF20" s="87">
        <v>7500.0</v>
      </c>
      <c r="AG20" s="90"/>
      <c r="AH20" s="90"/>
      <c r="AI20" s="90"/>
      <c r="AJ20" s="37">
        <f t="shared" si="65"/>
        <v>2366250</v>
      </c>
      <c r="AK20" s="37">
        <f t="shared" si="66"/>
        <v>492968.75</v>
      </c>
      <c r="AL20" s="87" t="s">
        <v>179</v>
      </c>
      <c r="AM20" s="87">
        <v>8.0</v>
      </c>
      <c r="AN20" s="95">
        <f t="shared" si="67"/>
        <v>1.666666667</v>
      </c>
      <c r="AO20" s="90"/>
      <c r="AP20" s="90"/>
      <c r="AQ20" s="90"/>
      <c r="AR20" s="87">
        <v>200000.0</v>
      </c>
      <c r="AS20" s="90"/>
      <c r="AT20" s="90"/>
      <c r="AU20" s="90"/>
      <c r="AV20" s="90"/>
      <c r="AW20" s="90"/>
      <c r="AX20" s="90"/>
      <c r="AY20" s="90"/>
      <c r="AZ20" s="90"/>
      <c r="BA20" s="90"/>
      <c r="BB20" s="37">
        <f t="shared" si="68"/>
        <v>200000</v>
      </c>
      <c r="BC20" s="37">
        <f t="shared" si="69"/>
        <v>41666.66667</v>
      </c>
      <c r="BD20" s="37">
        <f t="shared" ref="BD20:BD21" si="87">AP20*AQ20+AW20*AX20</f>
        <v>0</v>
      </c>
      <c r="BE20" s="37">
        <f t="shared" si="70"/>
        <v>0</v>
      </c>
      <c r="BF20" s="90"/>
      <c r="BG20" s="90"/>
      <c r="BH20" s="90"/>
      <c r="BI20" s="90"/>
      <c r="BJ20" s="90"/>
      <c r="BK20" s="90"/>
      <c r="BL20" s="90"/>
      <c r="BM20" s="90"/>
      <c r="BN20" s="90"/>
      <c r="BO20" s="90"/>
      <c r="BP20" s="90"/>
      <c r="BQ20" s="90"/>
      <c r="BR20" s="37">
        <f t="shared" si="71"/>
        <v>0</v>
      </c>
      <c r="BS20" s="96"/>
      <c r="BT20" s="96"/>
      <c r="BU20" s="96"/>
      <c r="BV20" s="96"/>
      <c r="BW20" s="96"/>
      <c r="BX20" s="96"/>
      <c r="BY20" s="96"/>
      <c r="BZ20" s="96"/>
      <c r="CA20" s="96"/>
      <c r="CB20" s="87">
        <f t="shared" ref="CB20:CB21" si="88">H20*CC20</f>
        <v>115200</v>
      </c>
      <c r="CC20" s="87">
        <v>24000.0</v>
      </c>
      <c r="CD20" s="90"/>
      <c r="CE20" s="90"/>
      <c r="CF20" s="90"/>
      <c r="CG20" s="90"/>
      <c r="CH20" s="87">
        <v>20000.0</v>
      </c>
      <c r="CI20" s="87">
        <v>0.0</v>
      </c>
      <c r="CJ20" s="90"/>
      <c r="CK20" s="90"/>
      <c r="CL20" s="90"/>
      <c r="CM20" s="90"/>
      <c r="CN20" s="90"/>
      <c r="CO20" s="90"/>
      <c r="CP20" s="87">
        <f t="shared" si="75"/>
        <v>315500</v>
      </c>
      <c r="CQ20" s="87">
        <f t="shared" si="76"/>
        <v>65729.16667</v>
      </c>
      <c r="CR20" s="87" t="s">
        <v>237</v>
      </c>
      <c r="CS20" s="37">
        <f t="shared" si="77"/>
        <v>135200</v>
      </c>
      <c r="CT20" s="95" t="s">
        <v>225</v>
      </c>
      <c r="CU20" s="87" t="s">
        <v>213</v>
      </c>
      <c r="CV20" s="90"/>
      <c r="CW20" s="90"/>
      <c r="CX20" s="90"/>
      <c r="CY20" s="90"/>
      <c r="CZ20" s="90"/>
      <c r="DA20" s="90"/>
      <c r="DB20" s="90"/>
      <c r="DC20" s="90"/>
      <c r="DD20" s="90"/>
      <c r="DE20" s="90"/>
      <c r="DF20" s="90"/>
      <c r="DG20" s="97"/>
      <c r="DH20" s="90"/>
      <c r="DI20" s="90"/>
      <c r="DJ20" s="87" t="s">
        <v>238</v>
      </c>
      <c r="DK20" s="87">
        <v>0.0</v>
      </c>
      <c r="DL20" s="87">
        <f t="shared" si="78"/>
        <v>0</v>
      </c>
      <c r="DM20" s="87">
        <v>0.0</v>
      </c>
      <c r="DN20" s="87" t="s">
        <v>200</v>
      </c>
      <c r="DO20" s="90"/>
      <c r="DP20" s="90"/>
      <c r="DQ20" s="90"/>
      <c r="DR20" s="90"/>
      <c r="DS20" s="90"/>
      <c r="DT20" s="78"/>
      <c r="DU20" s="90"/>
      <c r="DV20" s="90"/>
      <c r="DW20" s="87" t="s">
        <v>239</v>
      </c>
      <c r="DX20" s="37">
        <v>0.0</v>
      </c>
      <c r="DY20" s="37">
        <v>0.0</v>
      </c>
      <c r="DZ20" s="90"/>
      <c r="EA20" s="90"/>
      <c r="EB20" s="95">
        <f t="shared" si="80"/>
        <v>0</v>
      </c>
      <c r="EC20" s="90"/>
      <c r="ED20" s="90"/>
      <c r="EE20" s="90"/>
      <c r="EF20" s="95">
        <f t="shared" si="81"/>
        <v>0</v>
      </c>
      <c r="EG20" s="90"/>
      <c r="EH20" s="90"/>
      <c r="EI20" s="90"/>
      <c r="EJ20" s="95">
        <f t="shared" si="82"/>
        <v>0</v>
      </c>
      <c r="EK20" s="90"/>
      <c r="EL20" s="90"/>
      <c r="EM20" s="90"/>
      <c r="EN20" s="90"/>
      <c r="EO20" s="90"/>
      <c r="EP20" s="90"/>
      <c r="EQ20" s="90"/>
      <c r="ER20" s="37">
        <v>0.0</v>
      </c>
      <c r="ES20" s="37">
        <f t="shared" si="83"/>
        <v>0</v>
      </c>
      <c r="ET20" s="90"/>
      <c r="EU20" s="90"/>
      <c r="EV20" s="90"/>
      <c r="EW20" s="90"/>
      <c r="EX20" s="90"/>
      <c r="EY20" s="90"/>
      <c r="EZ20" s="90"/>
      <c r="FA20" s="90"/>
      <c r="FB20" s="90"/>
      <c r="FC20" s="90"/>
      <c r="FD20" s="90"/>
      <c r="FE20" s="90"/>
      <c r="FF20" s="90"/>
      <c r="FG20" s="90"/>
      <c r="FH20" s="90"/>
      <c r="FI20" s="90"/>
      <c r="FJ20" s="90"/>
      <c r="FK20" s="90"/>
      <c r="FL20" s="90"/>
      <c r="FM20" s="90"/>
      <c r="FN20" s="90"/>
      <c r="FO20" s="90"/>
      <c r="FP20" s="90"/>
      <c r="FQ20" s="90"/>
      <c r="FR20" s="90"/>
      <c r="FS20" s="90"/>
      <c r="FT20" s="90"/>
      <c r="FU20" s="90"/>
      <c r="FV20" s="90"/>
      <c r="FW20" s="90"/>
      <c r="FX20" s="90"/>
      <c r="FY20" s="37">
        <v>0.0</v>
      </c>
      <c r="FZ20" s="37">
        <v>0.0</v>
      </c>
      <c r="GA20" s="90"/>
      <c r="GB20" s="90"/>
      <c r="GC20" s="90"/>
      <c r="GD20" s="90"/>
      <c r="GE20" s="90"/>
      <c r="GF20" s="90"/>
      <c r="GG20" s="90"/>
      <c r="GH20" s="90"/>
      <c r="GI20" s="90"/>
      <c r="GJ20" s="90"/>
      <c r="GK20" s="90"/>
      <c r="GL20" s="90"/>
      <c r="GM20" s="90"/>
      <c r="GN20" s="90"/>
      <c r="GO20" s="90"/>
      <c r="GP20" s="90"/>
      <c r="GQ20" s="90"/>
      <c r="GR20" s="98">
        <f t="shared" si="84"/>
        <v>0</v>
      </c>
      <c r="GS20" s="98">
        <f t="shared" si="85"/>
        <v>0</v>
      </c>
      <c r="GT20" s="78"/>
      <c r="GU20" s="95" t="s">
        <v>208</v>
      </c>
      <c r="GV20" s="95" t="s">
        <v>219</v>
      </c>
      <c r="GW20" s="78"/>
      <c r="GX20" s="78"/>
      <c r="GY20" s="78"/>
      <c r="GZ20" s="90"/>
      <c r="HA20" s="90"/>
      <c r="HB20" s="90"/>
      <c r="HC20" s="90"/>
      <c r="HD20" s="90"/>
      <c r="HE20" s="90"/>
      <c r="HF20" s="90"/>
      <c r="HG20" s="87">
        <v>40.0</v>
      </c>
      <c r="HH20" s="87" t="s">
        <v>220</v>
      </c>
      <c r="HI20" s="99"/>
      <c r="HJ20" s="100"/>
      <c r="HK20" s="101"/>
      <c r="HL20" s="102"/>
    </row>
    <row r="21">
      <c r="A21" s="114" t="s">
        <v>192</v>
      </c>
      <c r="B21" s="115">
        <v>51.0</v>
      </c>
      <c r="C21" s="115">
        <v>25.0</v>
      </c>
      <c r="D21" s="115">
        <v>18.0</v>
      </c>
      <c r="E21" s="117">
        <v>4.0</v>
      </c>
      <c r="F21" s="117">
        <v>2.0</v>
      </c>
      <c r="G21" s="115" t="s">
        <v>176</v>
      </c>
      <c r="H21" s="118">
        <v>4.5</v>
      </c>
      <c r="I21" s="119">
        <f t="shared" si="49"/>
        <v>0.25</v>
      </c>
      <c r="J21" s="120" t="str">
        <f t="shared" si="50"/>
        <v/>
      </c>
      <c r="K21" s="87" t="s">
        <v>177</v>
      </c>
      <c r="L21" s="87" t="s">
        <v>178</v>
      </c>
      <c r="M21" s="37">
        <f t="shared" si="51"/>
        <v>436500</v>
      </c>
      <c r="N21" s="37">
        <f t="shared" si="52"/>
        <v>97000</v>
      </c>
      <c r="O21" s="37">
        <f t="shared" si="53"/>
        <v>0</v>
      </c>
      <c r="P21" s="37">
        <f t="shared" si="54"/>
        <v>0</v>
      </c>
      <c r="Q21" s="37">
        <f t="shared" si="55"/>
        <v>1882500</v>
      </c>
      <c r="R21" s="37">
        <f t="shared" si="56"/>
        <v>418333.3333</v>
      </c>
      <c r="S21" s="37">
        <f t="shared" si="57"/>
        <v>1446000</v>
      </c>
      <c r="T21" s="37">
        <f t="shared" si="58"/>
        <v>321333.3333</v>
      </c>
      <c r="U21" s="38">
        <f t="shared" si="59"/>
        <v>1446000</v>
      </c>
      <c r="V21" s="38">
        <f t="shared" si="60"/>
        <v>321333.3333</v>
      </c>
      <c r="W21" s="88">
        <f t="shared" si="61"/>
        <v>180</v>
      </c>
      <c r="X21" s="88">
        <v>0.0</v>
      </c>
      <c r="Y21" s="96"/>
      <c r="Z21" s="90"/>
      <c r="AA21" s="112">
        <v>251.0</v>
      </c>
      <c r="AB21" s="92">
        <f t="shared" si="62"/>
        <v>71</v>
      </c>
      <c r="AC21" s="93">
        <f t="shared" si="86"/>
        <v>0</v>
      </c>
      <c r="AD21" s="94">
        <f t="shared" si="63"/>
        <v>0</v>
      </c>
      <c r="AE21" s="95">
        <f t="shared" si="64"/>
        <v>55.77777778</v>
      </c>
      <c r="AF21" s="87">
        <v>7500.0</v>
      </c>
      <c r="AG21" s="90"/>
      <c r="AH21" s="90"/>
      <c r="AI21" s="90"/>
      <c r="AJ21" s="37">
        <f t="shared" si="65"/>
        <v>1882500</v>
      </c>
      <c r="AK21" s="37">
        <f t="shared" si="66"/>
        <v>418333.3333</v>
      </c>
      <c r="AL21" s="87" t="s">
        <v>179</v>
      </c>
      <c r="AM21" s="87">
        <v>10.0</v>
      </c>
      <c r="AN21" s="95">
        <f t="shared" si="67"/>
        <v>2.222222222</v>
      </c>
      <c r="AO21" s="87">
        <v>15000.0</v>
      </c>
      <c r="AP21" s="90"/>
      <c r="AQ21" s="90"/>
      <c r="AR21" s="87">
        <v>50000.0</v>
      </c>
      <c r="AS21" s="90"/>
      <c r="AT21" s="90"/>
      <c r="AU21" s="90"/>
      <c r="AV21" s="90"/>
      <c r="AW21" s="90"/>
      <c r="AX21" s="90"/>
      <c r="AY21" s="90"/>
      <c r="AZ21" s="90"/>
      <c r="BA21" s="90"/>
      <c r="BB21" s="37">
        <f t="shared" si="68"/>
        <v>200000</v>
      </c>
      <c r="BC21" s="37">
        <f t="shared" si="69"/>
        <v>44444.44444</v>
      </c>
      <c r="BD21" s="37">
        <f t="shared" si="87"/>
        <v>0</v>
      </c>
      <c r="BE21" s="37">
        <f t="shared" si="70"/>
        <v>0</v>
      </c>
      <c r="BF21" s="90"/>
      <c r="BG21" s="90"/>
      <c r="BH21" s="90"/>
      <c r="BI21" s="90"/>
      <c r="BJ21" s="90"/>
      <c r="BK21" s="90"/>
      <c r="BL21" s="90"/>
      <c r="BM21" s="90"/>
      <c r="BN21" s="90"/>
      <c r="BO21" s="90"/>
      <c r="BP21" s="90"/>
      <c r="BQ21" s="90"/>
      <c r="BR21" s="37">
        <f t="shared" si="71"/>
        <v>0</v>
      </c>
      <c r="BS21" s="96"/>
      <c r="BT21" s="96"/>
      <c r="BU21" s="96"/>
      <c r="BV21" s="96"/>
      <c r="BW21" s="96"/>
      <c r="BX21" s="96"/>
      <c r="BY21" s="96"/>
      <c r="BZ21" s="96"/>
      <c r="CA21" s="96"/>
      <c r="CB21" s="87">
        <f t="shared" si="88"/>
        <v>108000</v>
      </c>
      <c r="CC21" s="87">
        <v>24000.0</v>
      </c>
      <c r="CD21" s="87">
        <f>2*6000</f>
        <v>12000</v>
      </c>
      <c r="CE21" s="87">
        <f>CD21/H21</f>
        <v>2666.666667</v>
      </c>
      <c r="CF21" s="87">
        <f>CG21*H21</f>
        <v>76500</v>
      </c>
      <c r="CG21" s="87">
        <v>17000.0</v>
      </c>
      <c r="CH21" s="87">
        <v>0.0</v>
      </c>
      <c r="CI21" s="87">
        <v>0.0</v>
      </c>
      <c r="CJ21" s="90"/>
      <c r="CK21" s="90"/>
      <c r="CL21" s="90"/>
      <c r="CM21" s="90"/>
      <c r="CN21" s="90"/>
      <c r="CO21" s="90"/>
      <c r="CP21" s="87">
        <f t="shared" si="75"/>
        <v>251000</v>
      </c>
      <c r="CQ21" s="87">
        <f t="shared" si="76"/>
        <v>55777.77778</v>
      </c>
      <c r="CR21" s="87" t="s">
        <v>240</v>
      </c>
      <c r="CS21" s="37">
        <f t="shared" si="77"/>
        <v>196500</v>
      </c>
      <c r="CT21" s="95" t="s">
        <v>225</v>
      </c>
      <c r="CU21" s="87" t="s">
        <v>241</v>
      </c>
      <c r="CV21" s="90"/>
      <c r="CW21" s="90"/>
      <c r="CX21" s="90"/>
      <c r="CY21" s="90"/>
      <c r="CZ21" s="90"/>
      <c r="DA21" s="90"/>
      <c r="DB21" s="90"/>
      <c r="DC21" s="90"/>
      <c r="DD21" s="90"/>
      <c r="DE21" s="90"/>
      <c r="DF21" s="90"/>
      <c r="DG21" s="97"/>
      <c r="DH21" s="90"/>
      <c r="DI21" s="90"/>
      <c r="DJ21" s="87" t="s">
        <v>227</v>
      </c>
      <c r="DK21" s="87">
        <v>160.0</v>
      </c>
      <c r="DL21" s="87">
        <f t="shared" si="78"/>
        <v>35.55555556</v>
      </c>
      <c r="DM21" s="87">
        <f>40000/DK21</f>
        <v>250</v>
      </c>
      <c r="DN21" s="90"/>
      <c r="DO21" s="90"/>
      <c r="DP21" s="90"/>
      <c r="DQ21" s="90"/>
      <c r="DR21" s="90"/>
      <c r="DS21" s="90"/>
      <c r="DT21" s="95">
        <f>(DK21+DO21+DR21)/H21</f>
        <v>35.55555556</v>
      </c>
      <c r="DU21" s="90"/>
      <c r="DV21" s="90"/>
      <c r="DW21" s="90"/>
      <c r="DX21" s="37">
        <f>DK21*DM21+DP21+DS21</f>
        <v>40000</v>
      </c>
      <c r="DY21" s="37">
        <f>DX21/H21</f>
        <v>8888.888889</v>
      </c>
      <c r="DZ21" s="90"/>
      <c r="EA21" s="90"/>
      <c r="EB21" s="95">
        <f t="shared" si="80"/>
        <v>0</v>
      </c>
      <c r="EC21" s="90"/>
      <c r="ED21" s="90"/>
      <c r="EE21" s="90"/>
      <c r="EF21" s="95">
        <f t="shared" si="81"/>
        <v>0</v>
      </c>
      <c r="EG21" s="90"/>
      <c r="EH21" s="90"/>
      <c r="EI21" s="90"/>
      <c r="EJ21" s="95">
        <f t="shared" si="82"/>
        <v>0</v>
      </c>
      <c r="EK21" s="90"/>
      <c r="EL21" s="90"/>
      <c r="EM21" s="90"/>
      <c r="EN21" s="90"/>
      <c r="EO21" s="90"/>
      <c r="EP21" s="90"/>
      <c r="EQ21" s="90"/>
      <c r="ER21" s="37">
        <v>0.0</v>
      </c>
      <c r="ES21" s="37">
        <f t="shared" si="83"/>
        <v>0</v>
      </c>
      <c r="ET21" s="87" t="s">
        <v>235</v>
      </c>
      <c r="EU21" s="95">
        <v>3.0</v>
      </c>
      <c r="EV21" s="78"/>
      <c r="EW21" s="78"/>
      <c r="EX21" s="78"/>
      <c r="EY21" s="78"/>
      <c r="EZ21" s="78"/>
      <c r="FA21" s="78"/>
      <c r="FB21" s="78"/>
      <c r="FC21" s="78"/>
      <c r="FD21" s="78"/>
      <c r="FE21" s="78"/>
      <c r="FF21" s="90"/>
      <c r="FG21" s="90"/>
      <c r="FH21" s="90"/>
      <c r="FI21" s="90"/>
      <c r="FJ21" s="90"/>
      <c r="FK21" s="90"/>
      <c r="FL21" s="90"/>
      <c r="FM21" s="90"/>
      <c r="FN21" s="90"/>
      <c r="FO21" s="90"/>
      <c r="FP21" s="90"/>
      <c r="FQ21" s="90"/>
      <c r="FR21" s="90"/>
      <c r="FS21" s="90"/>
      <c r="FT21" s="90"/>
      <c r="FU21" s="90"/>
      <c r="FV21" s="90"/>
      <c r="FW21" s="90"/>
      <c r="FX21" s="87" t="s">
        <v>242</v>
      </c>
      <c r="FY21" s="37">
        <v>0.0</v>
      </c>
      <c r="FZ21" s="37">
        <v>0.0</v>
      </c>
      <c r="GA21" s="90"/>
      <c r="GB21" s="90"/>
      <c r="GC21" s="90"/>
      <c r="GD21" s="90"/>
      <c r="GE21" s="90"/>
      <c r="GF21" s="90"/>
      <c r="GG21" s="90"/>
      <c r="GH21" s="90"/>
      <c r="GI21" s="90"/>
      <c r="GJ21" s="90"/>
      <c r="GK21" s="90"/>
      <c r="GL21" s="90"/>
      <c r="GM21" s="90"/>
      <c r="GN21" s="90"/>
      <c r="GO21" s="90"/>
      <c r="GP21" s="90"/>
      <c r="GQ21" s="90"/>
      <c r="GR21" s="98">
        <f t="shared" si="84"/>
        <v>0</v>
      </c>
      <c r="GS21" s="98">
        <f t="shared" si="85"/>
        <v>0</v>
      </c>
      <c r="GT21" s="78"/>
      <c r="GU21" s="95" t="s">
        <v>208</v>
      </c>
      <c r="GV21" s="95" t="s">
        <v>228</v>
      </c>
      <c r="GW21" s="78"/>
      <c r="GX21" s="78"/>
      <c r="GY21" s="78"/>
      <c r="GZ21" s="90"/>
      <c r="HA21" s="90"/>
      <c r="HB21" s="90"/>
      <c r="HC21" s="90"/>
      <c r="HD21" s="90"/>
      <c r="HE21" s="90"/>
      <c r="HF21" s="90"/>
      <c r="HG21" s="87">
        <v>40.0</v>
      </c>
      <c r="HH21" s="87" t="s">
        <v>220</v>
      </c>
      <c r="HI21" s="99"/>
      <c r="HJ21" s="100"/>
      <c r="HK21" s="101"/>
      <c r="HL21" s="102"/>
    </row>
    <row r="22">
      <c r="A22" s="114" t="s">
        <v>193</v>
      </c>
      <c r="B22" s="115">
        <v>48.0</v>
      </c>
      <c r="C22" s="115">
        <v>50.0</v>
      </c>
      <c r="D22" s="115">
        <v>30.0</v>
      </c>
      <c r="E22" s="117">
        <v>4.0</v>
      </c>
      <c r="F22" s="117">
        <v>2.0</v>
      </c>
      <c r="G22" s="115" t="s">
        <v>176</v>
      </c>
      <c r="H22" s="118">
        <v>3.6</v>
      </c>
      <c r="I22" s="119">
        <f t="shared" si="49"/>
        <v>0.12</v>
      </c>
      <c r="J22" s="120" t="str">
        <f t="shared" si="50"/>
        <v/>
      </c>
      <c r="K22" s="87" t="s">
        <v>177</v>
      </c>
      <c r="L22" s="87" t="s">
        <v>178</v>
      </c>
      <c r="M22" s="37">
        <f t="shared" si="51"/>
        <v>101400</v>
      </c>
      <c r="N22" s="37">
        <f t="shared" si="52"/>
        <v>28166.66667</v>
      </c>
      <c r="O22" s="37">
        <f t="shared" si="53"/>
        <v>0</v>
      </c>
      <c r="P22" s="37">
        <f t="shared" si="54"/>
        <v>0</v>
      </c>
      <c r="Q22" s="37">
        <f t="shared" si="55"/>
        <v>1308750</v>
      </c>
      <c r="R22" s="37">
        <f t="shared" si="56"/>
        <v>363541.6667</v>
      </c>
      <c r="S22" s="37">
        <f t="shared" si="57"/>
        <v>1207350</v>
      </c>
      <c r="T22" s="37">
        <f t="shared" si="58"/>
        <v>335375</v>
      </c>
      <c r="U22" s="38">
        <f t="shared" si="59"/>
        <v>1207350</v>
      </c>
      <c r="V22" s="38">
        <f t="shared" si="60"/>
        <v>335375</v>
      </c>
      <c r="W22" s="88">
        <f t="shared" si="61"/>
        <v>144</v>
      </c>
      <c r="X22" s="88">
        <v>0.0</v>
      </c>
      <c r="Y22" s="96"/>
      <c r="Z22" s="90"/>
      <c r="AA22" s="112">
        <v>174.5</v>
      </c>
      <c r="AB22" s="104">
        <f t="shared" si="62"/>
        <v>30.5</v>
      </c>
      <c r="AC22" s="104">
        <f t="shared" si="86"/>
        <v>0</v>
      </c>
      <c r="AD22" s="94">
        <f t="shared" si="63"/>
        <v>0</v>
      </c>
      <c r="AE22" s="95">
        <f t="shared" si="64"/>
        <v>48.47222222</v>
      </c>
      <c r="AF22" s="87">
        <v>7500.0</v>
      </c>
      <c r="AG22" s="90"/>
      <c r="AH22" s="90"/>
      <c r="AI22" s="90"/>
      <c r="AJ22" s="37">
        <f t="shared" si="65"/>
        <v>1308750</v>
      </c>
      <c r="AK22" s="37">
        <f t="shared" si="66"/>
        <v>363541.6667</v>
      </c>
      <c r="AL22" s="90"/>
      <c r="AM22" s="90"/>
      <c r="AN22" s="95">
        <f t="shared" si="67"/>
        <v>0</v>
      </c>
      <c r="AO22" s="90"/>
      <c r="AP22" s="90"/>
      <c r="AQ22" s="90"/>
      <c r="AR22" s="90"/>
      <c r="AS22" s="90"/>
      <c r="AT22" s="90"/>
      <c r="AU22" s="90"/>
      <c r="AV22" s="90"/>
      <c r="AW22" s="90"/>
      <c r="AX22" s="90"/>
      <c r="AY22" s="90"/>
      <c r="AZ22" s="90"/>
      <c r="BA22" s="90"/>
      <c r="BB22" s="37">
        <v>0.0</v>
      </c>
      <c r="BC22" s="37">
        <v>0.0</v>
      </c>
      <c r="BD22" s="37">
        <v>0.0</v>
      </c>
      <c r="BE22" s="37">
        <v>0.0</v>
      </c>
      <c r="BF22" s="90"/>
      <c r="BG22" s="90"/>
      <c r="BH22" s="90"/>
      <c r="BI22" s="90"/>
      <c r="BJ22" s="90"/>
      <c r="BK22" s="90"/>
      <c r="BL22" s="90"/>
      <c r="BM22" s="90"/>
      <c r="BN22" s="90"/>
      <c r="BO22" s="90"/>
      <c r="BP22" s="90"/>
      <c r="BQ22" s="90"/>
      <c r="BR22" s="37">
        <f t="shared" si="71"/>
        <v>0</v>
      </c>
      <c r="BS22" s="96"/>
      <c r="BT22" s="96"/>
      <c r="BU22" s="96"/>
      <c r="BV22" s="96"/>
      <c r="BW22" s="96"/>
      <c r="BX22" s="96"/>
      <c r="BY22" s="96"/>
      <c r="BZ22" s="96"/>
      <c r="CA22" s="96"/>
      <c r="CB22" s="87">
        <f t="shared" ref="CB22:CB23" si="89">CC22*H22</f>
        <v>86400</v>
      </c>
      <c r="CC22" s="87">
        <v>24000.0</v>
      </c>
      <c r="CD22" s="90"/>
      <c r="CE22" s="90"/>
      <c r="CF22" s="90"/>
      <c r="CG22" s="90"/>
      <c r="CH22" s="87">
        <v>15000.0</v>
      </c>
      <c r="CI22" s="87">
        <v>0.0</v>
      </c>
      <c r="CJ22" s="90"/>
      <c r="CK22" s="90"/>
      <c r="CL22" s="90"/>
      <c r="CM22" s="90"/>
      <c r="CN22" s="90"/>
      <c r="CO22" s="90"/>
      <c r="CP22" s="87">
        <f t="shared" si="75"/>
        <v>174500</v>
      </c>
      <c r="CQ22" s="87">
        <f t="shared" si="76"/>
        <v>48472.22222</v>
      </c>
      <c r="CR22" s="87" t="s">
        <v>243</v>
      </c>
      <c r="CS22" s="37">
        <f t="shared" si="77"/>
        <v>101400</v>
      </c>
      <c r="CT22" s="95" t="s">
        <v>225</v>
      </c>
      <c r="CU22" s="87" t="s">
        <v>213</v>
      </c>
      <c r="CV22" s="90"/>
      <c r="CW22" s="90"/>
      <c r="CX22" s="90"/>
      <c r="CY22" s="90"/>
      <c r="CZ22" s="90"/>
      <c r="DA22" s="90"/>
      <c r="DB22" s="90"/>
      <c r="DC22" s="90"/>
      <c r="DD22" s="90"/>
      <c r="DE22" s="90"/>
      <c r="DF22" s="90"/>
      <c r="DG22" s="97"/>
      <c r="DH22" s="90"/>
      <c r="DI22" s="90"/>
      <c r="DJ22" s="78"/>
      <c r="DK22" s="90"/>
      <c r="DL22" s="87">
        <f t="shared" si="78"/>
        <v>0</v>
      </c>
      <c r="DM22" s="90"/>
      <c r="DN22" s="90"/>
      <c r="DO22" s="90"/>
      <c r="DP22" s="90"/>
      <c r="DQ22" s="90"/>
      <c r="DR22" s="90"/>
      <c r="DS22" s="90"/>
      <c r="DT22" s="78"/>
      <c r="DU22" s="90"/>
      <c r="DV22" s="90"/>
      <c r="DW22" s="90"/>
      <c r="DX22" s="37">
        <v>0.0</v>
      </c>
      <c r="DY22" s="37">
        <v>0.0</v>
      </c>
      <c r="DZ22" s="90"/>
      <c r="EA22" s="90"/>
      <c r="EB22" s="95">
        <f t="shared" si="80"/>
        <v>0</v>
      </c>
      <c r="EC22" s="90"/>
      <c r="ED22" s="90"/>
      <c r="EE22" s="90"/>
      <c r="EF22" s="95">
        <f t="shared" si="81"/>
        <v>0</v>
      </c>
      <c r="EG22" s="90"/>
      <c r="EH22" s="90"/>
      <c r="EI22" s="90"/>
      <c r="EJ22" s="95">
        <f t="shared" si="82"/>
        <v>0</v>
      </c>
      <c r="EK22" s="90"/>
      <c r="EL22" s="90"/>
      <c r="EM22" s="90"/>
      <c r="EN22" s="90"/>
      <c r="EO22" s="90"/>
      <c r="EP22" s="90"/>
      <c r="EQ22" s="90"/>
      <c r="ER22" s="37">
        <v>0.0</v>
      </c>
      <c r="ES22" s="37">
        <f t="shared" si="83"/>
        <v>0</v>
      </c>
      <c r="ET22" s="90"/>
      <c r="EU22" s="90"/>
      <c r="EV22" s="90"/>
      <c r="EW22" s="90"/>
      <c r="EX22" s="90"/>
      <c r="EY22" s="90"/>
      <c r="EZ22" s="90"/>
      <c r="FA22" s="90"/>
      <c r="FB22" s="90"/>
      <c r="FC22" s="90"/>
      <c r="FD22" s="90"/>
      <c r="FE22" s="90"/>
      <c r="FF22" s="90"/>
      <c r="FG22" s="90"/>
      <c r="FH22" s="90"/>
      <c r="FI22" s="90"/>
      <c r="FJ22" s="90"/>
      <c r="FK22" s="90"/>
      <c r="FL22" s="90"/>
      <c r="FM22" s="90"/>
      <c r="FN22" s="90"/>
      <c r="FO22" s="90"/>
      <c r="FP22" s="90"/>
      <c r="FQ22" s="90"/>
      <c r="FR22" s="90"/>
      <c r="FS22" s="90"/>
      <c r="FT22" s="90"/>
      <c r="FU22" s="90"/>
      <c r="FV22" s="90"/>
      <c r="FW22" s="90"/>
      <c r="FX22" s="90"/>
      <c r="FY22" s="37">
        <v>0.0</v>
      </c>
      <c r="FZ22" s="37">
        <v>0.0</v>
      </c>
      <c r="GA22" s="90"/>
      <c r="GB22" s="90"/>
      <c r="GC22" s="90"/>
      <c r="GD22" s="90"/>
      <c r="GE22" s="90"/>
      <c r="GF22" s="90"/>
      <c r="GG22" s="90"/>
      <c r="GH22" s="90"/>
      <c r="GI22" s="90"/>
      <c r="GJ22" s="90"/>
      <c r="GK22" s="90"/>
      <c r="GL22" s="90"/>
      <c r="GM22" s="90"/>
      <c r="GN22" s="90"/>
      <c r="GO22" s="90"/>
      <c r="GP22" s="90"/>
      <c r="GQ22" s="90"/>
      <c r="GR22" s="98">
        <f t="shared" si="84"/>
        <v>0</v>
      </c>
      <c r="GS22" s="98">
        <f t="shared" si="85"/>
        <v>0</v>
      </c>
      <c r="GT22" s="95" t="s">
        <v>208</v>
      </c>
      <c r="GU22" s="95" t="s">
        <v>219</v>
      </c>
      <c r="GV22" s="95" t="s">
        <v>228</v>
      </c>
      <c r="GW22" s="78"/>
      <c r="GX22" s="78"/>
      <c r="GY22" s="78"/>
      <c r="GZ22" s="90"/>
      <c r="HA22" s="90"/>
      <c r="HB22" s="90"/>
      <c r="HC22" s="90"/>
      <c r="HD22" s="90"/>
      <c r="HE22" s="90"/>
      <c r="HF22" s="90"/>
      <c r="HG22" s="87">
        <v>40.0</v>
      </c>
      <c r="HH22" s="87" t="s">
        <v>220</v>
      </c>
      <c r="HI22" s="99"/>
      <c r="HJ22" s="100"/>
      <c r="HK22" s="101"/>
      <c r="HL22" s="102"/>
    </row>
    <row r="23">
      <c r="A23" s="114" t="s">
        <v>195</v>
      </c>
      <c r="B23" s="115">
        <v>71.0</v>
      </c>
      <c r="C23" s="115">
        <v>28.0</v>
      </c>
      <c r="D23" s="115">
        <v>24.0</v>
      </c>
      <c r="E23" s="117">
        <v>4.0</v>
      </c>
      <c r="F23" s="117">
        <v>2.0</v>
      </c>
      <c r="G23" s="115" t="s">
        <v>176</v>
      </c>
      <c r="H23" s="118">
        <v>5.1</v>
      </c>
      <c r="I23" s="119">
        <f t="shared" si="49"/>
        <v>0.2125</v>
      </c>
      <c r="J23" s="120" t="str">
        <f t="shared" si="50"/>
        <v/>
      </c>
      <c r="K23" s="87" t="s">
        <v>177</v>
      </c>
      <c r="L23" s="87" t="s">
        <v>178</v>
      </c>
      <c r="M23" s="37">
        <f t="shared" si="51"/>
        <v>194400</v>
      </c>
      <c r="N23" s="37">
        <f t="shared" si="52"/>
        <v>38117.64706</v>
      </c>
      <c r="O23" s="37">
        <f t="shared" si="53"/>
        <v>0</v>
      </c>
      <c r="P23" s="37">
        <f t="shared" si="54"/>
        <v>0</v>
      </c>
      <c r="Q23" s="37">
        <f t="shared" si="55"/>
        <v>804000</v>
      </c>
      <c r="R23" s="37">
        <f t="shared" si="56"/>
        <v>157647.0588</v>
      </c>
      <c r="S23" s="37">
        <f t="shared" si="57"/>
        <v>609600</v>
      </c>
      <c r="T23" s="37">
        <f t="shared" si="58"/>
        <v>119529.4118</v>
      </c>
      <c r="U23" s="38">
        <f t="shared" si="59"/>
        <v>609600</v>
      </c>
      <c r="V23" s="38">
        <f t="shared" si="60"/>
        <v>119529.4118</v>
      </c>
      <c r="W23" s="88">
        <f t="shared" si="61"/>
        <v>204</v>
      </c>
      <c r="X23" s="88">
        <v>0.0</v>
      </c>
      <c r="Y23" s="96"/>
      <c r="Z23" s="90"/>
      <c r="AA23" s="112">
        <v>107.2</v>
      </c>
      <c r="AB23" s="104">
        <f t="shared" si="62"/>
        <v>-96.8</v>
      </c>
      <c r="AC23" s="104">
        <f t="shared" si="86"/>
        <v>-726000</v>
      </c>
      <c r="AD23" s="94">
        <f t="shared" si="63"/>
        <v>-726000</v>
      </c>
      <c r="AE23" s="94">
        <f t="shared" si="64"/>
        <v>21.01960784</v>
      </c>
      <c r="AF23" s="87">
        <v>7500.0</v>
      </c>
      <c r="AG23" s="90"/>
      <c r="AH23" s="90"/>
      <c r="AI23" s="90"/>
      <c r="AJ23" s="37">
        <f t="shared" si="65"/>
        <v>804000</v>
      </c>
      <c r="AK23" s="37">
        <f t="shared" si="66"/>
        <v>157647.0588</v>
      </c>
      <c r="AL23" s="87" t="s">
        <v>179</v>
      </c>
      <c r="AM23" s="87">
        <v>10.0</v>
      </c>
      <c r="AN23" s="95">
        <f t="shared" si="67"/>
        <v>1.960784314</v>
      </c>
      <c r="AO23" s="87">
        <v>5000.0</v>
      </c>
      <c r="AP23" s="90"/>
      <c r="AQ23" s="90"/>
      <c r="AR23" s="87">
        <v>10000.0</v>
      </c>
      <c r="AS23" s="90"/>
      <c r="AT23" s="90"/>
      <c r="AU23" s="90"/>
      <c r="AV23" s="90"/>
      <c r="AW23" s="90"/>
      <c r="AX23" s="90"/>
      <c r="AY23" s="90"/>
      <c r="AZ23" s="90"/>
      <c r="BA23" s="90"/>
      <c r="BB23" s="37">
        <f t="shared" ref="BB23:BB26" si="90">AM23*AO23+AR23+(AU23*AV23+AY23)</f>
        <v>60000</v>
      </c>
      <c r="BC23" s="37">
        <f t="shared" ref="BC23:BC26" si="91">BB23/H23</f>
        <v>11764.70588</v>
      </c>
      <c r="BD23" s="37">
        <f t="shared" ref="BD23:BD25" si="92">AP23*AQ23+AW23*AX23</f>
        <v>0</v>
      </c>
      <c r="BE23" s="37">
        <f t="shared" ref="BE23:BE26" si="93">BD23/H23</f>
        <v>0</v>
      </c>
      <c r="BF23" s="90"/>
      <c r="BG23" s="90"/>
      <c r="BH23" s="90"/>
      <c r="BI23" s="90"/>
      <c r="BJ23" s="90"/>
      <c r="BK23" s="90"/>
      <c r="BL23" s="90"/>
      <c r="BM23" s="90"/>
      <c r="BN23" s="90"/>
      <c r="BO23" s="90"/>
      <c r="BP23" s="90"/>
      <c r="BQ23" s="90"/>
      <c r="BR23" s="37">
        <f t="shared" si="71"/>
        <v>0</v>
      </c>
      <c r="BS23" s="96"/>
      <c r="BT23" s="96"/>
      <c r="BU23" s="96"/>
      <c r="BV23" s="96"/>
      <c r="BW23" s="96"/>
      <c r="BX23" s="96"/>
      <c r="BY23" s="96"/>
      <c r="BZ23" s="96"/>
      <c r="CA23" s="96"/>
      <c r="CB23" s="95">
        <f t="shared" si="89"/>
        <v>122400</v>
      </c>
      <c r="CC23" s="95">
        <v>24000.0</v>
      </c>
      <c r="CD23" s="95">
        <f>2*6000</f>
        <v>12000</v>
      </c>
      <c r="CE23" s="95">
        <f t="shared" ref="CE23:CE24" si="94">CD23/H23</f>
        <v>2352.941176</v>
      </c>
      <c r="CF23" s="95">
        <v>0.0</v>
      </c>
      <c r="CG23" s="95">
        <v>0.0</v>
      </c>
      <c r="CH23" s="95">
        <v>0.0</v>
      </c>
      <c r="CI23" s="95">
        <v>0.0</v>
      </c>
      <c r="CJ23" s="78"/>
      <c r="CK23" s="90"/>
      <c r="CL23" s="90"/>
      <c r="CM23" s="90"/>
      <c r="CN23" s="90"/>
      <c r="CO23" s="90"/>
      <c r="CP23" s="87">
        <f t="shared" si="75"/>
        <v>107200</v>
      </c>
      <c r="CQ23" s="87">
        <f t="shared" si="76"/>
        <v>21019.60784</v>
      </c>
      <c r="CR23" s="87" t="s">
        <v>240</v>
      </c>
      <c r="CS23" s="37">
        <f t="shared" si="77"/>
        <v>134400</v>
      </c>
      <c r="CT23" s="95" t="s">
        <v>225</v>
      </c>
      <c r="CU23" s="87" t="s">
        <v>244</v>
      </c>
      <c r="CV23" s="90"/>
      <c r="CW23" s="90"/>
      <c r="CX23" s="90"/>
      <c r="CY23" s="90"/>
      <c r="CZ23" s="90"/>
      <c r="DA23" s="90"/>
      <c r="DB23" s="90"/>
      <c r="DC23" s="90"/>
      <c r="DD23" s="90"/>
      <c r="DE23" s="90"/>
      <c r="DF23" s="90"/>
      <c r="DG23" s="97"/>
      <c r="DH23" s="90"/>
      <c r="DI23" s="90"/>
      <c r="DJ23" s="87" t="s">
        <v>187</v>
      </c>
      <c r="DK23" s="87">
        <f>7*40</f>
        <v>280</v>
      </c>
      <c r="DL23" s="87">
        <f t="shared" si="78"/>
        <v>54.90196078</v>
      </c>
      <c r="DM23" s="87">
        <v>0.0</v>
      </c>
      <c r="DN23" s="90"/>
      <c r="DO23" s="90"/>
      <c r="DP23" s="90"/>
      <c r="DQ23" s="90"/>
      <c r="DR23" s="90"/>
      <c r="DS23" s="90"/>
      <c r="DT23" s="95">
        <f t="shared" ref="DT23:DT25" si="95">(DK23+DO23+DR23)/H23</f>
        <v>54.90196078</v>
      </c>
      <c r="DU23" s="90"/>
      <c r="DV23" s="90"/>
      <c r="DW23" s="90"/>
      <c r="DX23" s="37">
        <f t="shared" ref="DX23:DX25" si="96">DK23*DM23+DP23+DS23</f>
        <v>0</v>
      </c>
      <c r="DY23" s="37">
        <v>0.0</v>
      </c>
      <c r="DZ23" s="90"/>
      <c r="EA23" s="90"/>
      <c r="EB23" s="95">
        <f t="shared" si="80"/>
        <v>0</v>
      </c>
      <c r="EC23" s="90"/>
      <c r="ED23" s="90"/>
      <c r="EE23" s="90"/>
      <c r="EF23" s="95">
        <f t="shared" si="81"/>
        <v>0</v>
      </c>
      <c r="EG23" s="90"/>
      <c r="EH23" s="90"/>
      <c r="EI23" s="90"/>
      <c r="EJ23" s="95">
        <f t="shared" si="82"/>
        <v>0</v>
      </c>
      <c r="EK23" s="90"/>
      <c r="EL23" s="90"/>
      <c r="EM23" s="90"/>
      <c r="EN23" s="90"/>
      <c r="EO23" s="90"/>
      <c r="EP23" s="90"/>
      <c r="EQ23" s="90"/>
      <c r="ER23" s="37">
        <v>0.0</v>
      </c>
      <c r="ES23" s="37">
        <f t="shared" si="83"/>
        <v>0</v>
      </c>
      <c r="ET23" s="90"/>
      <c r="EU23" s="90"/>
      <c r="EV23" s="90"/>
      <c r="EW23" s="90"/>
      <c r="EX23" s="90"/>
      <c r="EY23" s="90"/>
      <c r="EZ23" s="90"/>
      <c r="FA23" s="90"/>
      <c r="FB23" s="90"/>
      <c r="FC23" s="90"/>
      <c r="FD23" s="90"/>
      <c r="FE23" s="90"/>
      <c r="FF23" s="90"/>
      <c r="FG23" s="90"/>
      <c r="FH23" s="90"/>
      <c r="FI23" s="90"/>
      <c r="FJ23" s="90"/>
      <c r="FK23" s="90"/>
      <c r="FL23" s="90"/>
      <c r="FM23" s="90"/>
      <c r="FN23" s="90"/>
      <c r="FO23" s="90"/>
      <c r="FP23" s="90"/>
      <c r="FQ23" s="90"/>
      <c r="FR23" s="90"/>
      <c r="FS23" s="90"/>
      <c r="FT23" s="90"/>
      <c r="FU23" s="90"/>
      <c r="FV23" s="90"/>
      <c r="FW23" s="90"/>
      <c r="FX23" s="90"/>
      <c r="FY23" s="37">
        <v>0.0</v>
      </c>
      <c r="FZ23" s="37">
        <v>0.0</v>
      </c>
      <c r="GA23" s="90"/>
      <c r="GB23" s="90"/>
      <c r="GC23" s="90"/>
      <c r="GD23" s="90"/>
      <c r="GE23" s="90"/>
      <c r="GF23" s="90"/>
      <c r="GG23" s="90"/>
      <c r="GH23" s="90"/>
      <c r="GI23" s="90"/>
      <c r="GJ23" s="90"/>
      <c r="GK23" s="90"/>
      <c r="GL23" s="90"/>
      <c r="GM23" s="90"/>
      <c r="GN23" s="90"/>
      <c r="GO23" s="90"/>
      <c r="GP23" s="90"/>
      <c r="GQ23" s="90"/>
      <c r="GR23" s="98">
        <f t="shared" si="84"/>
        <v>0</v>
      </c>
      <c r="GS23" s="98">
        <f t="shared" si="85"/>
        <v>0</v>
      </c>
      <c r="GT23" s="95" t="s">
        <v>208</v>
      </c>
      <c r="GU23" s="95" t="s">
        <v>228</v>
      </c>
      <c r="GV23" s="78"/>
      <c r="GW23" s="78"/>
      <c r="GX23" s="78"/>
      <c r="GY23" s="78"/>
      <c r="GZ23" s="90"/>
      <c r="HA23" s="90"/>
      <c r="HB23" s="90"/>
      <c r="HC23" s="90"/>
      <c r="HD23" s="90"/>
      <c r="HE23" s="90"/>
      <c r="HF23" s="90"/>
      <c r="HG23" s="87">
        <v>40.0</v>
      </c>
      <c r="HH23" s="87" t="s">
        <v>220</v>
      </c>
      <c r="HI23" s="99"/>
      <c r="HJ23" s="100"/>
      <c r="HK23" s="101"/>
      <c r="HL23" s="102"/>
    </row>
    <row r="24">
      <c r="A24" s="114" t="s">
        <v>199</v>
      </c>
      <c r="B24" s="115">
        <v>60.0</v>
      </c>
      <c r="C24" s="115">
        <v>35.0</v>
      </c>
      <c r="D24" s="115">
        <v>30.0</v>
      </c>
      <c r="E24" s="117">
        <v>4.0</v>
      </c>
      <c r="F24" s="117">
        <v>2.0</v>
      </c>
      <c r="G24" s="115" t="s">
        <v>176</v>
      </c>
      <c r="H24" s="118">
        <v>3.2</v>
      </c>
      <c r="I24" s="119">
        <f t="shared" si="49"/>
        <v>0.1066666667</v>
      </c>
      <c r="J24" s="120" t="str">
        <f t="shared" si="50"/>
        <v/>
      </c>
      <c r="K24" s="87" t="s">
        <v>177</v>
      </c>
      <c r="L24" s="87" t="s">
        <v>178</v>
      </c>
      <c r="M24" s="37">
        <f t="shared" si="51"/>
        <v>232000</v>
      </c>
      <c r="N24" s="37">
        <f t="shared" si="52"/>
        <v>72500</v>
      </c>
      <c r="O24" s="37">
        <f t="shared" si="53"/>
        <v>0</v>
      </c>
      <c r="P24" s="37">
        <f t="shared" si="54"/>
        <v>0</v>
      </c>
      <c r="Q24" s="37">
        <f t="shared" si="55"/>
        <v>900000</v>
      </c>
      <c r="R24" s="37">
        <f t="shared" si="56"/>
        <v>281250</v>
      </c>
      <c r="S24" s="37">
        <f t="shared" si="57"/>
        <v>668000</v>
      </c>
      <c r="T24" s="37">
        <f t="shared" si="58"/>
        <v>208750</v>
      </c>
      <c r="U24" s="38">
        <f t="shared" si="59"/>
        <v>668000</v>
      </c>
      <c r="V24" s="38">
        <f t="shared" si="60"/>
        <v>208750</v>
      </c>
      <c r="W24" s="88">
        <f t="shared" si="61"/>
        <v>128</v>
      </c>
      <c r="X24" s="88">
        <v>0.0</v>
      </c>
      <c r="Y24" s="96"/>
      <c r="Z24" s="90"/>
      <c r="AA24" s="112">
        <v>120.0</v>
      </c>
      <c r="AB24" s="104">
        <f t="shared" si="62"/>
        <v>-8</v>
      </c>
      <c r="AC24" s="104">
        <f t="shared" si="86"/>
        <v>-60000</v>
      </c>
      <c r="AD24" s="94">
        <f t="shared" si="63"/>
        <v>-60000</v>
      </c>
      <c r="AE24" s="94">
        <f t="shared" si="64"/>
        <v>37.5</v>
      </c>
      <c r="AF24" s="87">
        <v>7500.0</v>
      </c>
      <c r="AG24" s="90"/>
      <c r="AH24" s="90"/>
      <c r="AI24" s="90"/>
      <c r="AJ24" s="37">
        <f t="shared" si="65"/>
        <v>900000</v>
      </c>
      <c r="AK24" s="37">
        <f t="shared" si="66"/>
        <v>281250</v>
      </c>
      <c r="AL24" s="87" t="s">
        <v>179</v>
      </c>
      <c r="AM24" s="87">
        <v>3.0</v>
      </c>
      <c r="AN24" s="95">
        <f t="shared" si="67"/>
        <v>0.9375</v>
      </c>
      <c r="AO24" s="90"/>
      <c r="AP24" s="90"/>
      <c r="AQ24" s="90"/>
      <c r="AR24" s="87">
        <f>24000*3</f>
        <v>72000</v>
      </c>
      <c r="AS24" s="90"/>
      <c r="AT24" s="90"/>
      <c r="AU24" s="90"/>
      <c r="AV24" s="90"/>
      <c r="AW24" s="90"/>
      <c r="AX24" s="90"/>
      <c r="AY24" s="90"/>
      <c r="AZ24" s="90"/>
      <c r="BA24" s="90"/>
      <c r="BB24" s="37">
        <f t="shared" si="90"/>
        <v>72000</v>
      </c>
      <c r="BC24" s="37">
        <f t="shared" si="91"/>
        <v>22500</v>
      </c>
      <c r="BD24" s="37">
        <f t="shared" si="92"/>
        <v>0</v>
      </c>
      <c r="BE24" s="37">
        <f t="shared" si="93"/>
        <v>0</v>
      </c>
      <c r="BF24" s="90"/>
      <c r="BG24" s="90"/>
      <c r="BH24" s="90"/>
      <c r="BI24" s="90"/>
      <c r="BJ24" s="90"/>
      <c r="BK24" s="90"/>
      <c r="BL24" s="90"/>
      <c r="BM24" s="90"/>
      <c r="BN24" s="90"/>
      <c r="BO24" s="90"/>
      <c r="BP24" s="90"/>
      <c r="BQ24" s="90"/>
      <c r="BR24" s="37">
        <f t="shared" si="71"/>
        <v>0</v>
      </c>
      <c r="BS24" s="96"/>
      <c r="BT24" s="96"/>
      <c r="BU24" s="96"/>
      <c r="BV24" s="96"/>
      <c r="BW24" s="96"/>
      <c r="BX24" s="96"/>
      <c r="BY24" s="96"/>
      <c r="BZ24" s="96"/>
      <c r="CA24" s="96"/>
      <c r="CB24" s="87">
        <f>25000*H24</f>
        <v>80000</v>
      </c>
      <c r="CC24" s="87">
        <v>25000.0</v>
      </c>
      <c r="CD24" s="87">
        <f>11000*1</f>
        <v>11000</v>
      </c>
      <c r="CE24" s="87">
        <f t="shared" si="94"/>
        <v>3437.5</v>
      </c>
      <c r="CF24" s="87">
        <f>20000*H24</f>
        <v>64000</v>
      </c>
      <c r="CG24" s="87">
        <f>CF24/H24</f>
        <v>20000</v>
      </c>
      <c r="CH24" s="87">
        <v>5000.0</v>
      </c>
      <c r="CI24" s="87">
        <v>0.0</v>
      </c>
      <c r="CJ24" s="90"/>
      <c r="CK24" s="90"/>
      <c r="CL24" s="90"/>
      <c r="CM24" s="90"/>
      <c r="CN24" s="90"/>
      <c r="CO24" s="90"/>
      <c r="CP24" s="87">
        <f t="shared" si="75"/>
        <v>120000</v>
      </c>
      <c r="CQ24" s="87">
        <f t="shared" si="76"/>
        <v>37500</v>
      </c>
      <c r="CR24" s="87" t="s">
        <v>245</v>
      </c>
      <c r="CS24" s="37">
        <f t="shared" si="77"/>
        <v>160000</v>
      </c>
      <c r="CT24" s="95" t="s">
        <v>225</v>
      </c>
      <c r="CU24" s="87" t="s">
        <v>213</v>
      </c>
      <c r="CV24" s="90"/>
      <c r="CW24" s="90"/>
      <c r="CX24" s="90"/>
      <c r="CY24" s="90"/>
      <c r="CZ24" s="90"/>
      <c r="DA24" s="90"/>
      <c r="DB24" s="90"/>
      <c r="DC24" s="90"/>
      <c r="DD24" s="90"/>
      <c r="DE24" s="90"/>
      <c r="DF24" s="90"/>
      <c r="DG24" s="97"/>
      <c r="DH24" s="90"/>
      <c r="DI24" s="90"/>
      <c r="DJ24" s="95" t="s">
        <v>200</v>
      </c>
      <c r="DK24" s="95">
        <f>25*5</f>
        <v>125</v>
      </c>
      <c r="DL24" s="87">
        <f t="shared" si="78"/>
        <v>39.0625</v>
      </c>
      <c r="DM24" s="95">
        <v>0.0</v>
      </c>
      <c r="DN24" s="78"/>
      <c r="DO24" s="78"/>
      <c r="DP24" s="90"/>
      <c r="DQ24" s="90"/>
      <c r="DR24" s="90"/>
      <c r="DS24" s="90"/>
      <c r="DT24" s="95">
        <f t="shared" si="95"/>
        <v>39.0625</v>
      </c>
      <c r="DU24" s="90"/>
      <c r="DV24" s="90"/>
      <c r="DW24" s="90"/>
      <c r="DX24" s="37">
        <f t="shared" si="96"/>
        <v>0</v>
      </c>
      <c r="DY24" s="37">
        <v>0.0</v>
      </c>
      <c r="DZ24" s="90"/>
      <c r="EA24" s="90"/>
      <c r="EB24" s="95">
        <f t="shared" si="80"/>
        <v>0</v>
      </c>
      <c r="EC24" s="90"/>
      <c r="ED24" s="90"/>
      <c r="EE24" s="90"/>
      <c r="EF24" s="95">
        <f t="shared" si="81"/>
        <v>0</v>
      </c>
      <c r="EG24" s="90"/>
      <c r="EH24" s="90"/>
      <c r="EI24" s="90"/>
      <c r="EJ24" s="95">
        <f t="shared" si="82"/>
        <v>0</v>
      </c>
      <c r="EK24" s="90"/>
      <c r="EL24" s="90"/>
      <c r="EM24" s="90"/>
      <c r="EN24" s="90"/>
      <c r="EO24" s="90"/>
      <c r="EP24" s="90"/>
      <c r="EQ24" s="90"/>
      <c r="ER24" s="37">
        <v>0.0</v>
      </c>
      <c r="ES24" s="37">
        <f t="shared" si="83"/>
        <v>0</v>
      </c>
      <c r="ET24" s="87" t="s">
        <v>235</v>
      </c>
      <c r="EU24" s="87">
        <v>1.0</v>
      </c>
      <c r="EV24" s="90"/>
      <c r="EW24" s="90"/>
      <c r="EX24" s="90"/>
      <c r="EY24" s="90"/>
      <c r="EZ24" s="90"/>
      <c r="FA24" s="90"/>
      <c r="FB24" s="90"/>
      <c r="FC24" s="90"/>
      <c r="FD24" s="90"/>
      <c r="FE24" s="90"/>
      <c r="FF24" s="90"/>
      <c r="FG24" s="90"/>
      <c r="FH24" s="90"/>
      <c r="FI24" s="90"/>
      <c r="FJ24" s="90"/>
      <c r="FK24" s="90"/>
      <c r="FL24" s="90"/>
      <c r="FM24" s="90"/>
      <c r="FN24" s="90"/>
      <c r="FO24" s="90"/>
      <c r="FP24" s="90"/>
      <c r="FQ24" s="90"/>
      <c r="FR24" s="90"/>
      <c r="FS24" s="90"/>
      <c r="FT24" s="90"/>
      <c r="FU24" s="90"/>
      <c r="FV24" s="90"/>
      <c r="FW24" s="90"/>
      <c r="FX24" s="87" t="s">
        <v>246</v>
      </c>
      <c r="FY24" s="37">
        <v>0.0</v>
      </c>
      <c r="FZ24" s="37">
        <v>0.0</v>
      </c>
      <c r="GA24" s="90"/>
      <c r="GB24" s="90"/>
      <c r="GC24" s="90"/>
      <c r="GD24" s="90"/>
      <c r="GE24" s="90"/>
      <c r="GF24" s="90"/>
      <c r="GG24" s="90"/>
      <c r="GH24" s="90"/>
      <c r="GI24" s="90"/>
      <c r="GJ24" s="90"/>
      <c r="GK24" s="90"/>
      <c r="GL24" s="90"/>
      <c r="GM24" s="90"/>
      <c r="GN24" s="90"/>
      <c r="GO24" s="90"/>
      <c r="GP24" s="90"/>
      <c r="GQ24" s="90"/>
      <c r="GR24" s="98">
        <f t="shared" si="84"/>
        <v>0</v>
      </c>
      <c r="GS24" s="98">
        <f t="shared" si="85"/>
        <v>0</v>
      </c>
      <c r="GT24" s="95" t="s">
        <v>208</v>
      </c>
      <c r="GU24" s="95" t="s">
        <v>219</v>
      </c>
      <c r="GV24" s="78"/>
      <c r="GW24" s="78"/>
      <c r="GX24" s="78"/>
      <c r="GY24" s="78"/>
      <c r="GZ24" s="90"/>
      <c r="HA24" s="90"/>
      <c r="HB24" s="90"/>
      <c r="HC24" s="90"/>
      <c r="HD24" s="90"/>
      <c r="HE24" s="90"/>
      <c r="HF24" s="90"/>
      <c r="HG24" s="87">
        <v>40.0</v>
      </c>
      <c r="HH24" s="87" t="s">
        <v>220</v>
      </c>
      <c r="HI24" s="99"/>
      <c r="HJ24" s="100"/>
      <c r="HK24" s="101"/>
      <c r="HL24" s="102"/>
    </row>
    <row r="25">
      <c r="A25" s="114" t="s">
        <v>202</v>
      </c>
      <c r="B25" s="115">
        <v>54.0</v>
      </c>
      <c r="C25" s="115">
        <v>115.0</v>
      </c>
      <c r="D25" s="115">
        <v>90.0</v>
      </c>
      <c r="E25" s="117">
        <v>4.0</v>
      </c>
      <c r="F25" s="117">
        <v>2.0</v>
      </c>
      <c r="G25" s="115" t="s">
        <v>176</v>
      </c>
      <c r="H25" s="118">
        <v>14.41</v>
      </c>
      <c r="I25" s="119">
        <f t="shared" si="49"/>
        <v>0.1601111111</v>
      </c>
      <c r="J25" s="120" t="str">
        <f t="shared" si="50"/>
        <v/>
      </c>
      <c r="K25" s="87" t="s">
        <v>177</v>
      </c>
      <c r="L25" s="87" t="s">
        <v>178</v>
      </c>
      <c r="M25" s="37">
        <f t="shared" si="51"/>
        <v>1115840</v>
      </c>
      <c r="N25" s="37">
        <f t="shared" si="52"/>
        <v>77435.1145</v>
      </c>
      <c r="O25" s="37">
        <f t="shared" si="53"/>
        <v>0</v>
      </c>
      <c r="P25" s="37">
        <f t="shared" si="54"/>
        <v>0</v>
      </c>
      <c r="Q25" s="37">
        <f t="shared" si="55"/>
        <v>5666250</v>
      </c>
      <c r="R25" s="37">
        <f t="shared" si="56"/>
        <v>393216.5163</v>
      </c>
      <c r="S25" s="37">
        <f t="shared" si="57"/>
        <v>4550410</v>
      </c>
      <c r="T25" s="37">
        <f t="shared" si="58"/>
        <v>315781.4018</v>
      </c>
      <c r="U25" s="38">
        <f t="shared" si="59"/>
        <v>4550410</v>
      </c>
      <c r="V25" s="38">
        <f t="shared" si="60"/>
        <v>315781.4018</v>
      </c>
      <c r="W25" s="88">
        <f t="shared" si="61"/>
        <v>576.4</v>
      </c>
      <c r="X25" s="88">
        <v>0.0</v>
      </c>
      <c r="Y25" s="96"/>
      <c r="Z25" s="90"/>
      <c r="AA25" s="112">
        <v>755.5</v>
      </c>
      <c r="AB25" s="92">
        <f t="shared" si="62"/>
        <v>179.1</v>
      </c>
      <c r="AC25" s="93">
        <f t="shared" si="86"/>
        <v>0</v>
      </c>
      <c r="AD25" s="94">
        <f t="shared" si="63"/>
        <v>0</v>
      </c>
      <c r="AE25" s="95">
        <f t="shared" si="64"/>
        <v>52.42886884</v>
      </c>
      <c r="AF25" s="87">
        <v>7500.0</v>
      </c>
      <c r="AG25" s="90"/>
      <c r="AH25" s="90"/>
      <c r="AI25" s="131" t="s">
        <v>247</v>
      </c>
      <c r="AJ25" s="37">
        <f t="shared" si="65"/>
        <v>5666250</v>
      </c>
      <c r="AK25" s="37">
        <f t="shared" si="66"/>
        <v>393216.5163</v>
      </c>
      <c r="AL25" s="87" t="s">
        <v>179</v>
      </c>
      <c r="AM25" s="87">
        <v>30.0</v>
      </c>
      <c r="AN25" s="95">
        <f t="shared" si="67"/>
        <v>2.081887578</v>
      </c>
      <c r="AO25" s="87">
        <v>10000.0</v>
      </c>
      <c r="AP25" s="90"/>
      <c r="AQ25" s="90"/>
      <c r="AR25" s="87">
        <v>240000.0</v>
      </c>
      <c r="AS25" s="90"/>
      <c r="AT25" s="90"/>
      <c r="AU25" s="90"/>
      <c r="AV25" s="90"/>
      <c r="AW25" s="90"/>
      <c r="AX25" s="90"/>
      <c r="AY25" s="90"/>
      <c r="AZ25" s="90"/>
      <c r="BA25" s="90"/>
      <c r="BB25" s="37">
        <f t="shared" si="90"/>
        <v>540000</v>
      </c>
      <c r="BC25" s="37">
        <f t="shared" si="91"/>
        <v>37473.97641</v>
      </c>
      <c r="BD25" s="37">
        <f t="shared" si="92"/>
        <v>0</v>
      </c>
      <c r="BE25" s="37">
        <f t="shared" si="93"/>
        <v>0</v>
      </c>
      <c r="BF25" s="90"/>
      <c r="BG25" s="90"/>
      <c r="BH25" s="90"/>
      <c r="BI25" s="90"/>
      <c r="BJ25" s="90"/>
      <c r="BK25" s="90"/>
      <c r="BL25" s="90"/>
      <c r="BM25" s="90"/>
      <c r="BN25" s="90"/>
      <c r="BO25" s="90"/>
      <c r="BP25" s="90"/>
      <c r="BQ25" s="90"/>
      <c r="BR25" s="37">
        <f t="shared" si="71"/>
        <v>0</v>
      </c>
      <c r="BS25" s="96"/>
      <c r="BT25" s="96"/>
      <c r="BU25" s="96"/>
      <c r="BV25" s="96"/>
      <c r="BW25" s="96"/>
      <c r="BX25" s="96"/>
      <c r="BY25" s="96"/>
      <c r="BZ25" s="96"/>
      <c r="CA25" s="96"/>
      <c r="CB25" s="87">
        <f>CC25*H25</f>
        <v>345840</v>
      </c>
      <c r="CC25" s="87">
        <v>24000.0</v>
      </c>
      <c r="CD25" s="87">
        <v>0.0</v>
      </c>
      <c r="CE25" s="87">
        <v>0.0</v>
      </c>
      <c r="CF25" s="87">
        <v>0.0</v>
      </c>
      <c r="CG25" s="87">
        <v>0.0</v>
      </c>
      <c r="CH25" s="87">
        <v>15000.0</v>
      </c>
      <c r="CI25" s="87">
        <v>0.0</v>
      </c>
      <c r="CJ25" s="90"/>
      <c r="CK25" s="90"/>
      <c r="CL25" s="90"/>
      <c r="CM25" s="90"/>
      <c r="CN25" s="90"/>
      <c r="CO25" s="90"/>
      <c r="CP25" s="87">
        <f t="shared" si="75"/>
        <v>755500</v>
      </c>
      <c r="CQ25" s="87">
        <f t="shared" si="76"/>
        <v>52428.86884</v>
      </c>
      <c r="CR25" s="87" t="s">
        <v>248</v>
      </c>
      <c r="CS25" s="37">
        <f t="shared" si="77"/>
        <v>360840</v>
      </c>
      <c r="CT25" s="95" t="s">
        <v>225</v>
      </c>
      <c r="CU25" s="87" t="s">
        <v>213</v>
      </c>
      <c r="CV25" s="90"/>
      <c r="CW25" s="90"/>
      <c r="CX25" s="90"/>
      <c r="CY25" s="90"/>
      <c r="CZ25" s="90"/>
      <c r="DA25" s="90"/>
      <c r="DB25" s="90"/>
      <c r="DC25" s="90"/>
      <c r="DD25" s="90"/>
      <c r="DE25" s="90"/>
      <c r="DF25" s="90"/>
      <c r="DG25" s="97"/>
      <c r="DH25" s="90"/>
      <c r="DI25" s="90"/>
      <c r="DJ25" s="87" t="s">
        <v>227</v>
      </c>
      <c r="DK25" s="87">
        <v>400.0</v>
      </c>
      <c r="DL25" s="87">
        <f t="shared" si="78"/>
        <v>27.75850104</v>
      </c>
      <c r="DM25" s="87">
        <f>100000/DK25</f>
        <v>250</v>
      </c>
      <c r="DN25" s="90"/>
      <c r="DO25" s="90"/>
      <c r="DP25" s="90"/>
      <c r="DQ25" s="90"/>
      <c r="DR25" s="90"/>
      <c r="DS25" s="90"/>
      <c r="DT25" s="95">
        <f t="shared" si="95"/>
        <v>27.75850104</v>
      </c>
      <c r="DU25" s="90"/>
      <c r="DV25" s="90"/>
      <c r="DW25" s="90"/>
      <c r="DX25" s="37">
        <f t="shared" si="96"/>
        <v>100000</v>
      </c>
      <c r="DY25" s="37">
        <f>DX25/H25</f>
        <v>6939.62526</v>
      </c>
      <c r="DZ25" s="90"/>
      <c r="EA25" s="90"/>
      <c r="EB25" s="95">
        <f t="shared" si="80"/>
        <v>0</v>
      </c>
      <c r="EC25" s="90"/>
      <c r="ED25" s="90"/>
      <c r="EE25" s="90"/>
      <c r="EF25" s="95">
        <f t="shared" si="81"/>
        <v>0</v>
      </c>
      <c r="EG25" s="90"/>
      <c r="EH25" s="90"/>
      <c r="EI25" s="90"/>
      <c r="EJ25" s="95">
        <f t="shared" si="82"/>
        <v>0</v>
      </c>
      <c r="EK25" s="90"/>
      <c r="EL25" s="90"/>
      <c r="EM25" s="90"/>
      <c r="EN25" s="90"/>
      <c r="EO25" s="90"/>
      <c r="EP25" s="90"/>
      <c r="EQ25" s="90"/>
      <c r="ER25" s="37">
        <v>0.0</v>
      </c>
      <c r="ES25" s="37">
        <f t="shared" si="83"/>
        <v>0</v>
      </c>
      <c r="ET25" s="87" t="s">
        <v>235</v>
      </c>
      <c r="EU25" s="87">
        <v>2.0</v>
      </c>
      <c r="EV25" s="87">
        <v>115000.0</v>
      </c>
      <c r="EW25" s="90"/>
      <c r="EX25" s="90"/>
      <c r="EY25" s="90"/>
      <c r="EZ25" s="90"/>
      <c r="FA25" s="90"/>
      <c r="FB25" s="90"/>
      <c r="FC25" s="90"/>
      <c r="FD25" s="90"/>
      <c r="FE25" s="90"/>
      <c r="FF25" s="90"/>
      <c r="FG25" s="90"/>
      <c r="FH25" s="90"/>
      <c r="FI25" s="90"/>
      <c r="FJ25" s="90"/>
      <c r="FK25" s="90"/>
      <c r="FL25" s="90"/>
      <c r="FM25" s="90"/>
      <c r="FN25" s="90"/>
      <c r="FO25" s="90"/>
      <c r="FP25" s="90"/>
      <c r="FQ25" s="90"/>
      <c r="FR25" s="90"/>
      <c r="FS25" s="90"/>
      <c r="FT25" s="90"/>
      <c r="FU25" s="90"/>
      <c r="FV25" s="90"/>
      <c r="FW25" s="90"/>
      <c r="FX25" s="87" t="s">
        <v>249</v>
      </c>
      <c r="FY25" s="37">
        <f>EV25</f>
        <v>115000</v>
      </c>
      <c r="FZ25" s="37">
        <f>FY25/H25</f>
        <v>7980.569049</v>
      </c>
      <c r="GA25" s="90"/>
      <c r="GB25" s="90"/>
      <c r="GC25" s="90"/>
      <c r="GD25" s="90"/>
      <c r="GE25" s="90"/>
      <c r="GF25" s="90"/>
      <c r="GG25" s="90"/>
      <c r="GH25" s="90"/>
      <c r="GI25" s="90"/>
      <c r="GJ25" s="90"/>
      <c r="GK25" s="90"/>
      <c r="GL25" s="90"/>
      <c r="GM25" s="90"/>
      <c r="GN25" s="90"/>
      <c r="GO25" s="90"/>
      <c r="GP25" s="90"/>
      <c r="GQ25" s="90"/>
      <c r="GR25" s="98">
        <f t="shared" si="84"/>
        <v>0</v>
      </c>
      <c r="GS25" s="98">
        <f t="shared" si="85"/>
        <v>0</v>
      </c>
      <c r="GT25" s="95" t="s">
        <v>208</v>
      </c>
      <c r="GU25" s="95" t="s">
        <v>219</v>
      </c>
      <c r="GV25" s="78"/>
      <c r="GW25" s="78"/>
      <c r="GX25" s="78"/>
      <c r="GY25" s="78"/>
      <c r="GZ25" s="90"/>
      <c r="HA25" s="90"/>
      <c r="HB25" s="90"/>
      <c r="HC25" s="90"/>
      <c r="HD25" s="90"/>
      <c r="HE25" s="90"/>
      <c r="HF25" s="90"/>
      <c r="HG25" s="87">
        <v>40.0</v>
      </c>
      <c r="HH25" s="87" t="s">
        <v>220</v>
      </c>
      <c r="HI25" s="99"/>
      <c r="HJ25" s="100"/>
      <c r="HK25" s="101"/>
      <c r="HL25" s="102"/>
    </row>
    <row r="26">
      <c r="A26" s="114" t="s">
        <v>205</v>
      </c>
      <c r="B26" s="115">
        <v>50.0</v>
      </c>
      <c r="C26" s="115">
        <v>42.0</v>
      </c>
      <c r="D26" s="115">
        <v>20.0</v>
      </c>
      <c r="E26" s="117">
        <v>4.0</v>
      </c>
      <c r="F26" s="117">
        <v>2.0</v>
      </c>
      <c r="G26" s="115" t="s">
        <v>176</v>
      </c>
      <c r="H26" s="118">
        <v>5.5</v>
      </c>
      <c r="I26" s="119">
        <f t="shared" si="49"/>
        <v>0.275</v>
      </c>
      <c r="J26" s="120" t="str">
        <f t="shared" si="50"/>
        <v/>
      </c>
      <c r="K26" s="87" t="s">
        <v>177</v>
      </c>
      <c r="L26" s="87" t="s">
        <v>178</v>
      </c>
      <c r="M26" s="37">
        <f t="shared" si="51"/>
        <v>752000</v>
      </c>
      <c r="N26" s="37">
        <f t="shared" si="52"/>
        <v>136727.2727</v>
      </c>
      <c r="O26" s="37">
        <f t="shared" si="53"/>
        <v>0</v>
      </c>
      <c r="P26" s="37">
        <f t="shared" si="54"/>
        <v>0</v>
      </c>
      <c r="Q26" s="37">
        <f t="shared" si="55"/>
        <v>2928750</v>
      </c>
      <c r="R26" s="37">
        <f t="shared" si="56"/>
        <v>532500</v>
      </c>
      <c r="S26" s="37">
        <f t="shared" si="57"/>
        <v>2176750</v>
      </c>
      <c r="T26" s="37">
        <f t="shared" si="58"/>
        <v>395772.7273</v>
      </c>
      <c r="U26" s="38">
        <f t="shared" si="59"/>
        <v>2176750</v>
      </c>
      <c r="V26" s="38">
        <f t="shared" si="60"/>
        <v>395772.7273</v>
      </c>
      <c r="W26" s="88">
        <f t="shared" si="61"/>
        <v>220</v>
      </c>
      <c r="X26" s="88">
        <v>0.0</v>
      </c>
      <c r="Y26" s="96"/>
      <c r="Z26" s="90"/>
      <c r="AA26" s="112">
        <v>294.5</v>
      </c>
      <c r="AB26" s="92">
        <f t="shared" si="62"/>
        <v>74.5</v>
      </c>
      <c r="AC26" s="93">
        <f t="shared" si="86"/>
        <v>0</v>
      </c>
      <c r="AD26" s="94">
        <f t="shared" si="63"/>
        <v>0</v>
      </c>
      <c r="AE26" s="95">
        <f t="shared" si="64"/>
        <v>53.54545455</v>
      </c>
      <c r="AF26" s="87">
        <v>7500.0</v>
      </c>
      <c r="AG26" s="90"/>
      <c r="AH26" s="90"/>
      <c r="AI26" s="90"/>
      <c r="AJ26" s="37">
        <f t="shared" si="65"/>
        <v>2208750</v>
      </c>
      <c r="AK26" s="37">
        <f t="shared" si="66"/>
        <v>401590.9091</v>
      </c>
      <c r="AL26" s="87" t="s">
        <v>179</v>
      </c>
      <c r="AM26" s="87">
        <v>50.0</v>
      </c>
      <c r="AN26" s="95">
        <f t="shared" si="67"/>
        <v>9.090909091</v>
      </c>
      <c r="AO26" s="87">
        <v>7000.0</v>
      </c>
      <c r="AP26" s="128">
        <v>24.0</v>
      </c>
      <c r="AQ26" s="87">
        <v>30000.0</v>
      </c>
      <c r="AR26" s="87">
        <v>120000.0</v>
      </c>
      <c r="AS26" s="90"/>
      <c r="AT26" s="90"/>
      <c r="AU26" s="90"/>
      <c r="AV26" s="90"/>
      <c r="AW26" s="90"/>
      <c r="AX26" s="90"/>
      <c r="AY26" s="90"/>
      <c r="AZ26" s="90"/>
      <c r="BA26" s="90"/>
      <c r="BB26" s="37">
        <f t="shared" si="90"/>
        <v>470000</v>
      </c>
      <c r="BC26" s="37">
        <f t="shared" si="91"/>
        <v>85454.54545</v>
      </c>
      <c r="BD26" s="37">
        <f>(AP26*AQ26)+(AS26)+(AW26*AX26)+(AY26)</f>
        <v>720000</v>
      </c>
      <c r="BE26" s="37">
        <f t="shared" si="93"/>
        <v>130909.0909</v>
      </c>
      <c r="BF26" s="90"/>
      <c r="BG26" s="90"/>
      <c r="BH26" s="90"/>
      <c r="BI26" s="90"/>
      <c r="BJ26" s="90"/>
      <c r="BK26" s="90"/>
      <c r="BL26" s="90"/>
      <c r="BM26" s="90"/>
      <c r="BN26" s="90"/>
      <c r="BO26" s="90"/>
      <c r="BP26" s="90"/>
      <c r="BQ26" s="90"/>
      <c r="BR26" s="37">
        <f t="shared" si="71"/>
        <v>0</v>
      </c>
      <c r="BS26" s="96"/>
      <c r="BT26" s="96"/>
      <c r="BU26" s="96"/>
      <c r="BV26" s="96"/>
      <c r="BW26" s="96"/>
      <c r="BX26" s="96"/>
      <c r="BY26" s="96"/>
      <c r="BZ26" s="96"/>
      <c r="CA26" s="96"/>
      <c r="CB26" s="87">
        <f>H26*CC26</f>
        <v>132000</v>
      </c>
      <c r="CC26" s="87">
        <v>24000.0</v>
      </c>
      <c r="CD26" s="87">
        <f>5*22000</f>
        <v>110000</v>
      </c>
      <c r="CE26" s="87">
        <f>CD26/H26</f>
        <v>20000</v>
      </c>
      <c r="CF26" s="87">
        <v>0.0</v>
      </c>
      <c r="CG26" s="87">
        <v>0.0</v>
      </c>
      <c r="CH26" s="87">
        <v>40000.0</v>
      </c>
      <c r="CI26" s="87">
        <v>0.0</v>
      </c>
      <c r="CJ26" s="90"/>
      <c r="CK26" s="90"/>
      <c r="CL26" s="90"/>
      <c r="CM26" s="90"/>
      <c r="CN26" s="90"/>
      <c r="CO26" s="90"/>
      <c r="CP26" s="87">
        <f t="shared" si="75"/>
        <v>294500</v>
      </c>
      <c r="CQ26" s="87">
        <f t="shared" si="76"/>
        <v>53545.45455</v>
      </c>
      <c r="CR26" s="87" t="s">
        <v>250</v>
      </c>
      <c r="CS26" s="37">
        <f t="shared" si="77"/>
        <v>282000</v>
      </c>
      <c r="CT26" s="95" t="s">
        <v>225</v>
      </c>
      <c r="CU26" s="87" t="s">
        <v>213</v>
      </c>
      <c r="CV26" s="90"/>
      <c r="CW26" s="90"/>
      <c r="CX26" s="90"/>
      <c r="CY26" s="90"/>
      <c r="CZ26" s="90"/>
      <c r="DA26" s="90"/>
      <c r="DB26" s="90"/>
      <c r="DC26" s="90"/>
      <c r="DD26" s="90"/>
      <c r="DE26" s="90"/>
      <c r="DF26" s="90"/>
      <c r="DG26" s="97"/>
      <c r="DH26" s="90"/>
      <c r="DI26" s="90"/>
      <c r="DJ26" s="90"/>
      <c r="DK26" s="90"/>
      <c r="DL26" s="87">
        <f t="shared" si="78"/>
        <v>0</v>
      </c>
      <c r="DM26" s="90"/>
      <c r="DN26" s="90"/>
      <c r="DO26" s="90"/>
      <c r="DP26" s="90"/>
      <c r="DQ26" s="90"/>
      <c r="DR26" s="90"/>
      <c r="DS26" s="90"/>
      <c r="DT26" s="90"/>
      <c r="DU26" s="90"/>
      <c r="DV26" s="90"/>
      <c r="DW26" s="87" t="s">
        <v>251</v>
      </c>
      <c r="DX26" s="37">
        <v>0.0</v>
      </c>
      <c r="DY26" s="37">
        <v>0.0</v>
      </c>
      <c r="DZ26" s="90"/>
      <c r="EA26" s="90"/>
      <c r="EB26" s="95">
        <f t="shared" si="80"/>
        <v>0</v>
      </c>
      <c r="EC26" s="90"/>
      <c r="ED26" s="90"/>
      <c r="EE26" s="90"/>
      <c r="EF26" s="95">
        <f t="shared" si="81"/>
        <v>0</v>
      </c>
      <c r="EG26" s="90"/>
      <c r="EH26" s="90"/>
      <c r="EI26" s="90"/>
      <c r="EJ26" s="95">
        <f t="shared" si="82"/>
        <v>0</v>
      </c>
      <c r="EK26" s="90"/>
      <c r="EL26" s="90"/>
      <c r="EM26" s="90"/>
      <c r="EN26" s="90"/>
      <c r="EO26" s="90"/>
      <c r="EP26" s="90"/>
      <c r="EQ26" s="90"/>
      <c r="ER26" s="37">
        <v>0.0</v>
      </c>
      <c r="ES26" s="37">
        <f t="shared" si="83"/>
        <v>0</v>
      </c>
      <c r="ET26" s="90"/>
      <c r="EU26" s="90"/>
      <c r="EV26" s="90"/>
      <c r="EW26" s="90"/>
      <c r="EX26" s="90"/>
      <c r="EY26" s="90"/>
      <c r="EZ26" s="90"/>
      <c r="FA26" s="90"/>
      <c r="FB26" s="90"/>
      <c r="FC26" s="90"/>
      <c r="FD26" s="90"/>
      <c r="FE26" s="90"/>
      <c r="FF26" s="90"/>
      <c r="FG26" s="90"/>
      <c r="FH26" s="90"/>
      <c r="FI26" s="90"/>
      <c r="FJ26" s="90"/>
      <c r="FK26" s="90"/>
      <c r="FL26" s="90"/>
      <c r="FM26" s="90"/>
      <c r="FN26" s="90"/>
      <c r="FO26" s="90"/>
      <c r="FP26" s="90"/>
      <c r="FQ26" s="90"/>
      <c r="FR26" s="90"/>
      <c r="FS26" s="90"/>
      <c r="FT26" s="90"/>
      <c r="FU26" s="90"/>
      <c r="FV26" s="90"/>
      <c r="FW26" s="90"/>
      <c r="FX26" s="90"/>
      <c r="FY26" s="37">
        <v>0.0</v>
      </c>
      <c r="FZ26" s="37">
        <v>0.0</v>
      </c>
      <c r="GA26" s="90"/>
      <c r="GB26" s="90"/>
      <c r="GC26" s="90"/>
      <c r="GD26" s="90"/>
      <c r="GE26" s="90"/>
      <c r="GF26" s="90"/>
      <c r="GG26" s="90"/>
      <c r="GH26" s="90"/>
      <c r="GI26" s="90"/>
      <c r="GJ26" s="90"/>
      <c r="GK26" s="90"/>
      <c r="GL26" s="90"/>
      <c r="GM26" s="90"/>
      <c r="GN26" s="90"/>
      <c r="GO26" s="90"/>
      <c r="GP26" s="90"/>
      <c r="GQ26" s="90"/>
      <c r="GR26" s="98">
        <f t="shared" si="84"/>
        <v>0</v>
      </c>
      <c r="GS26" s="98">
        <f t="shared" si="85"/>
        <v>0</v>
      </c>
      <c r="GT26" s="95" t="s">
        <v>208</v>
      </c>
      <c r="GU26" s="95" t="s">
        <v>219</v>
      </c>
      <c r="GV26" s="78"/>
      <c r="GW26" s="78"/>
      <c r="GX26" s="78"/>
      <c r="GY26" s="78"/>
      <c r="GZ26" s="90"/>
      <c r="HA26" s="90"/>
      <c r="HB26" s="90"/>
      <c r="HC26" s="90"/>
      <c r="HD26" s="90"/>
      <c r="HE26" s="90"/>
      <c r="HF26" s="90"/>
      <c r="HG26" s="87">
        <v>40.0</v>
      </c>
      <c r="HH26" s="87" t="s">
        <v>220</v>
      </c>
      <c r="HI26" s="99"/>
      <c r="HJ26" s="100"/>
      <c r="HK26" s="101"/>
      <c r="HL26" s="102"/>
    </row>
    <row r="27">
      <c r="A27" s="113" t="s">
        <v>252</v>
      </c>
      <c r="B27" s="121"/>
      <c r="C27" s="121"/>
      <c r="D27" s="121"/>
      <c r="E27" s="123"/>
      <c r="F27" s="123"/>
      <c r="G27" s="121"/>
      <c r="H27" s="124"/>
      <c r="I27" s="124"/>
      <c r="J27" s="125"/>
    </row>
    <row r="28">
      <c r="A28" s="81" t="s">
        <v>253</v>
      </c>
      <c r="B28" s="132"/>
      <c r="C28" s="132"/>
      <c r="D28" s="132"/>
      <c r="E28" s="83">
        <v>6.0</v>
      </c>
      <c r="F28" s="83">
        <v>1.0</v>
      </c>
      <c r="G28" s="82" t="s">
        <v>176</v>
      </c>
      <c r="H28" s="84">
        <v>6.35</v>
      </c>
      <c r="I28" s="133"/>
      <c r="J28" s="86">
        <f t="shared" ref="J28:J29" si="97">DA28</f>
        <v>45434</v>
      </c>
      <c r="K28" s="95" t="s">
        <v>177</v>
      </c>
      <c r="L28" s="95" t="s">
        <v>211</v>
      </c>
      <c r="M28" s="37">
        <f t="shared" ref="M28:M29" si="98">BB28+DX28+ER28+FY28+GR28+CS28</f>
        <v>741250</v>
      </c>
      <c r="N28" s="37">
        <f t="shared" ref="N28:N29" si="99">M28/H28</f>
        <v>116732.2835</v>
      </c>
      <c r="O28" s="37">
        <f t="shared" ref="O28:O29" si="100">BR28</f>
        <v>0</v>
      </c>
      <c r="P28" s="37">
        <f t="shared" ref="P28:P29" si="101">O28/H28</f>
        <v>0</v>
      </c>
      <c r="Q28" s="37">
        <f t="shared" ref="Q28:Q29" si="102">BD28+AJ28</f>
        <v>1746000</v>
      </c>
      <c r="R28" s="37">
        <f t="shared" ref="R28:R29" si="103">Q28/H28</f>
        <v>274960.6299</v>
      </c>
      <c r="S28" s="37">
        <f t="shared" ref="S28:S29" si="104">Q28-M28</f>
        <v>1004750</v>
      </c>
      <c r="T28" s="37">
        <f t="shared" ref="T28:T29" si="105">S28/H28</f>
        <v>158228.3465</v>
      </c>
      <c r="U28" s="38">
        <f t="shared" ref="U28:U29" si="106">Q28-O28-M28</f>
        <v>1004750</v>
      </c>
      <c r="V28" s="38">
        <f t="shared" ref="V28:V29" si="107">U28/H28</f>
        <v>158228.3465</v>
      </c>
      <c r="W28" s="88">
        <f t="shared" ref="W28:W29" si="108">40*H28</f>
        <v>254</v>
      </c>
      <c r="X28" s="95">
        <v>1905000.0</v>
      </c>
      <c r="Y28" s="134">
        <v>45306.0</v>
      </c>
      <c r="Z28" s="135"/>
      <c r="AA28" s="91">
        <v>291.0</v>
      </c>
      <c r="AB28" s="104">
        <f t="shared" ref="AB28:AB29" si="109">AA28-W28</f>
        <v>37</v>
      </c>
      <c r="AC28" s="104">
        <f t="shared" ref="AC28:AC29" si="110">ifs(AB28&lt;0,AB28*AF28,AB28&gt;0,0,AB28="","")</f>
        <v>0</v>
      </c>
      <c r="AD28" s="94">
        <f t="shared" ref="AD28:AD29" si="111">IF(X28&lt;&gt;"", IFS(AB28&lt;0, AB28*AF28, AB28&gt;0, 0, AB28="", ""), 0)</f>
        <v>0</v>
      </c>
      <c r="AE28" s="95">
        <f t="shared" ref="AE28:AE29" si="112">AA28/H28</f>
        <v>45.82677165</v>
      </c>
      <c r="AF28" s="95">
        <v>6000.0</v>
      </c>
      <c r="AG28" s="78"/>
      <c r="AH28" s="78"/>
      <c r="AI28" s="78"/>
      <c r="AJ28" s="37">
        <f t="shared" ref="AJ28:AJ29" si="113">AA28*AF28</f>
        <v>1746000</v>
      </c>
      <c r="AK28" s="37">
        <f t="shared" ref="AK28:AK29" si="114">AJ28/H28</f>
        <v>274960.6299</v>
      </c>
      <c r="AL28" s="95" t="s">
        <v>254</v>
      </c>
      <c r="AM28" s="95">
        <v>20.0</v>
      </c>
      <c r="AN28" s="95">
        <f t="shared" ref="AN28:AN29" si="115">AM28/H28</f>
        <v>3.149606299</v>
      </c>
      <c r="AO28" s="95">
        <v>15000.0</v>
      </c>
      <c r="AP28" s="87">
        <v>0.0</v>
      </c>
      <c r="AQ28" s="87">
        <v>0.0</v>
      </c>
      <c r="AR28" s="95">
        <v>200000.0</v>
      </c>
      <c r="AS28" s="78"/>
      <c r="AT28" s="78"/>
      <c r="AU28" s="78"/>
      <c r="AV28" s="78"/>
      <c r="AW28" s="78"/>
      <c r="AX28" s="78"/>
      <c r="AY28" s="78"/>
      <c r="AZ28" s="78"/>
      <c r="BA28" s="95" t="s">
        <v>255</v>
      </c>
      <c r="BB28" s="37">
        <f t="shared" ref="BB28:BB29" si="116">AM28*AO28+AR28+(AU28*AV28+AY28)</f>
        <v>500000</v>
      </c>
      <c r="BC28" s="37">
        <f t="shared" ref="BC28:BC29" si="117">BB28/H28</f>
        <v>78740.15748</v>
      </c>
      <c r="BD28" s="37">
        <f t="shared" ref="BD28:BD29" si="118">(AP28*AQ28)+(AS28)+(AW28*AX28)+(AY28)</f>
        <v>0</v>
      </c>
      <c r="BE28" s="37">
        <f t="shared" ref="BE28:BE29" si="119">BD28/H28</f>
        <v>0</v>
      </c>
      <c r="BF28" s="78"/>
      <c r="BG28" s="78"/>
      <c r="BH28" s="78"/>
      <c r="BI28" s="78"/>
      <c r="BJ28" s="78"/>
      <c r="BK28" s="78"/>
      <c r="BL28" s="78"/>
      <c r="BM28" s="78"/>
      <c r="BN28" s="78"/>
      <c r="BO28" s="78"/>
      <c r="BP28" s="78"/>
      <c r="BQ28" s="78"/>
      <c r="BR28" s="129">
        <v>0.0</v>
      </c>
      <c r="BS28" s="78"/>
      <c r="BT28" s="78"/>
      <c r="BU28" s="78"/>
      <c r="BV28" s="78"/>
      <c r="BW28" s="78"/>
      <c r="BX28" s="78"/>
      <c r="BY28" s="78"/>
      <c r="BZ28" s="78"/>
      <c r="CA28" s="78"/>
      <c r="CB28" s="87">
        <f>H28*CC28</f>
        <v>158750</v>
      </c>
      <c r="CC28" s="95">
        <v>25000.0</v>
      </c>
      <c r="CD28" s="87">
        <f>3*22500</f>
        <v>67500</v>
      </c>
      <c r="CE28" s="87">
        <f t="shared" ref="CE28:CE29" si="120">CD28/H28</f>
        <v>10629.92126</v>
      </c>
      <c r="CF28" s="95">
        <v>0.0</v>
      </c>
      <c r="CG28" s="95">
        <v>0.0</v>
      </c>
      <c r="CH28" s="95">
        <v>10000.0</v>
      </c>
      <c r="CI28" s="95">
        <v>0.0</v>
      </c>
      <c r="CJ28" s="78"/>
      <c r="CK28" s="78"/>
      <c r="CL28" s="78"/>
      <c r="CM28" s="78"/>
      <c r="CN28" s="78"/>
      <c r="CO28" s="90"/>
      <c r="CP28" s="87">
        <f t="shared" ref="CP28:CP29" si="121">AA28*1000</f>
        <v>291000</v>
      </c>
      <c r="CQ28" s="87">
        <f t="shared" ref="CQ28:CQ29" si="122">CP28/H28</f>
        <v>45826.77165</v>
      </c>
      <c r="CR28" s="87" t="s">
        <v>256</v>
      </c>
      <c r="CS28" s="37">
        <f t="shared" ref="CS28:CS29" si="123">CB28+CD28+CF28+CH28+CI28+CK28+CL28+CM28+CN28</f>
        <v>236250</v>
      </c>
      <c r="CT28" s="95" t="s">
        <v>225</v>
      </c>
      <c r="CU28" s="87" t="s">
        <v>213</v>
      </c>
      <c r="CV28" s="87">
        <v>25.0</v>
      </c>
      <c r="CW28" s="136">
        <v>45341.0</v>
      </c>
      <c r="CX28" s="135"/>
      <c r="CY28" s="135"/>
      <c r="CZ28" s="87">
        <f t="shared" ref="CZ28:CZ29" si="124">(DA28-CW28)+CV28</f>
        <v>118</v>
      </c>
      <c r="DA28" s="137">
        <v>45434.0</v>
      </c>
      <c r="DB28" s="138"/>
      <c r="DC28" s="78"/>
      <c r="DD28" s="78"/>
      <c r="DE28" s="78"/>
      <c r="DF28" s="78"/>
      <c r="DG28" s="105"/>
      <c r="DH28" s="78"/>
      <c r="DI28" s="78"/>
      <c r="DJ28" s="95" t="s">
        <v>227</v>
      </c>
      <c r="DK28" s="87">
        <v>200.0</v>
      </c>
      <c r="DL28" s="90"/>
      <c r="DM28" s="87">
        <v>0.0</v>
      </c>
      <c r="DN28" s="78"/>
      <c r="DO28" s="78"/>
      <c r="DP28" s="78"/>
      <c r="DQ28" s="78"/>
      <c r="DR28" s="78"/>
      <c r="DS28" s="78"/>
      <c r="DT28" s="95">
        <f t="shared" ref="DT28:DT29" si="125">(DK28+DO28+DR28)/H28</f>
        <v>31.49606299</v>
      </c>
      <c r="DU28" s="78"/>
      <c r="DV28" s="78"/>
      <c r="DW28" s="95" t="s">
        <v>257</v>
      </c>
      <c r="DX28" s="37">
        <f t="shared" ref="DX28:DX29" si="126">DK28*DM28+DP28+DS28</f>
        <v>0</v>
      </c>
      <c r="DY28" s="96"/>
      <c r="DZ28" s="78"/>
      <c r="EA28" s="78"/>
      <c r="EB28" s="95">
        <f t="shared" ref="EB28:EB29" si="127">EA28/H28</f>
        <v>0</v>
      </c>
      <c r="EC28" s="78"/>
      <c r="ED28" s="78"/>
      <c r="EE28" s="78"/>
      <c r="EF28" s="95">
        <f t="shared" ref="EF28:EF29" si="128">EE28/H28</f>
        <v>0</v>
      </c>
      <c r="EG28" s="78"/>
      <c r="EH28" s="78"/>
      <c r="EI28" s="78"/>
      <c r="EJ28" s="95">
        <f t="shared" ref="EJ28:EJ29" si="129">EI28/H28</f>
        <v>0</v>
      </c>
      <c r="EK28" s="78"/>
      <c r="EL28" s="78"/>
      <c r="EM28" s="78"/>
      <c r="EN28" s="78"/>
      <c r="EO28" s="78"/>
      <c r="EP28" s="78"/>
      <c r="EQ28" s="78"/>
      <c r="ER28" s="37">
        <f t="shared" ref="ER28:ER29" si="130">EC28+EG28+EK28+EN28</f>
        <v>0</v>
      </c>
      <c r="ES28" s="37">
        <f t="shared" ref="ES28:ES29" si="131">ER28/H28</f>
        <v>0</v>
      </c>
      <c r="ET28" s="87" t="s">
        <v>235</v>
      </c>
      <c r="EU28" s="95">
        <v>2.0</v>
      </c>
      <c r="EV28" s="95">
        <v>5000.0</v>
      </c>
      <c r="EW28" s="95">
        <v>440.0</v>
      </c>
      <c r="EX28" s="78"/>
      <c r="EY28" s="78"/>
      <c r="EZ28" s="78"/>
      <c r="FA28" s="78"/>
      <c r="FB28" s="78"/>
      <c r="FC28" s="78"/>
      <c r="FD28" s="78"/>
      <c r="FE28" s="78"/>
      <c r="FF28" s="78"/>
      <c r="FG28" s="78"/>
      <c r="FH28" s="78"/>
      <c r="FI28" s="78"/>
      <c r="FJ28" s="78"/>
      <c r="FK28" s="78"/>
      <c r="FL28" s="78"/>
      <c r="FM28" s="78"/>
      <c r="FN28" s="78"/>
      <c r="FO28" s="78"/>
      <c r="FP28" s="78"/>
      <c r="FQ28" s="78"/>
      <c r="FR28" s="78"/>
      <c r="FS28" s="78"/>
      <c r="FT28" s="78"/>
      <c r="FU28" s="78"/>
      <c r="FV28" s="78"/>
      <c r="FW28" s="78"/>
      <c r="FX28" s="95" t="s">
        <v>258</v>
      </c>
      <c r="FY28" s="37">
        <f t="shared" ref="FY28:FY29" si="132">EV28</f>
        <v>5000</v>
      </c>
      <c r="FZ28" s="37">
        <f t="shared" ref="FZ28:FZ29" si="133">FY28/H28</f>
        <v>787.4015748</v>
      </c>
      <c r="GA28" s="78"/>
      <c r="GB28" s="78"/>
      <c r="GC28" s="78"/>
      <c r="GD28" s="78"/>
      <c r="GE28" s="78"/>
      <c r="GF28" s="78"/>
      <c r="GG28" s="78"/>
      <c r="GH28" s="78"/>
      <c r="GI28" s="78"/>
      <c r="GJ28" s="78"/>
      <c r="GK28" s="78"/>
      <c r="GL28" s="78"/>
      <c r="GM28" s="78"/>
      <c r="GN28" s="78"/>
      <c r="GO28" s="78"/>
      <c r="GP28" s="78"/>
      <c r="GQ28" s="78"/>
      <c r="GR28" s="98">
        <f t="shared" ref="GR28:GR29" si="134">GB28*GC28+GH28*GI28+GN28*GO28</f>
        <v>0</v>
      </c>
      <c r="GS28" s="98">
        <f t="shared" ref="GS28:GS29" si="135">GR28/H28</f>
        <v>0</v>
      </c>
      <c r="GT28" s="78"/>
      <c r="GU28" s="78"/>
      <c r="GV28" s="78"/>
      <c r="GW28" s="78"/>
      <c r="GX28" s="78"/>
      <c r="GY28" s="78"/>
      <c r="GZ28" s="95" t="s">
        <v>259</v>
      </c>
      <c r="HA28" s="78"/>
      <c r="HB28" s="78"/>
      <c r="HC28" s="78"/>
      <c r="HD28" s="78"/>
      <c r="HE28" s="78"/>
      <c r="HF28" s="78"/>
      <c r="HG28" s="95">
        <v>40.0</v>
      </c>
      <c r="HH28" s="87" t="s">
        <v>260</v>
      </c>
      <c r="HI28" s="106"/>
      <c r="HJ28" s="100"/>
      <c r="HK28" s="101"/>
      <c r="HL28" s="102"/>
    </row>
    <row r="29">
      <c r="A29" s="81" t="s">
        <v>261</v>
      </c>
      <c r="B29" s="132"/>
      <c r="C29" s="132"/>
      <c r="D29" s="132"/>
      <c r="E29" s="83">
        <v>6.0</v>
      </c>
      <c r="F29" s="83">
        <v>1.0</v>
      </c>
      <c r="G29" s="82" t="s">
        <v>176</v>
      </c>
      <c r="H29" s="84">
        <v>3.28</v>
      </c>
      <c r="I29" s="133"/>
      <c r="J29" s="86">
        <f t="shared" si="97"/>
        <v>45443</v>
      </c>
      <c r="K29" s="95" t="s">
        <v>177</v>
      </c>
      <c r="L29" s="95" t="s">
        <v>211</v>
      </c>
      <c r="M29" s="37">
        <f t="shared" si="98"/>
        <v>459000</v>
      </c>
      <c r="N29" s="37">
        <f t="shared" si="99"/>
        <v>139939.0244</v>
      </c>
      <c r="O29" s="37">
        <f t="shared" si="100"/>
        <v>0</v>
      </c>
      <c r="P29" s="37">
        <f t="shared" si="101"/>
        <v>0</v>
      </c>
      <c r="Q29" s="37">
        <f t="shared" si="102"/>
        <v>832000</v>
      </c>
      <c r="R29" s="37">
        <f t="shared" si="103"/>
        <v>253658.5366</v>
      </c>
      <c r="S29" s="37">
        <f t="shared" si="104"/>
        <v>373000</v>
      </c>
      <c r="T29" s="37">
        <f t="shared" si="105"/>
        <v>113719.5122</v>
      </c>
      <c r="U29" s="38">
        <f t="shared" si="106"/>
        <v>373000</v>
      </c>
      <c r="V29" s="38">
        <f t="shared" si="107"/>
        <v>113719.5122</v>
      </c>
      <c r="W29" s="88">
        <f t="shared" si="108"/>
        <v>131.2</v>
      </c>
      <c r="X29" s="95">
        <v>984000.0</v>
      </c>
      <c r="Y29" s="134">
        <v>45306.0</v>
      </c>
      <c r="Z29" s="135"/>
      <c r="AA29" s="91">
        <v>122.0</v>
      </c>
      <c r="AB29" s="104">
        <f t="shared" si="109"/>
        <v>-9.2</v>
      </c>
      <c r="AC29" s="104">
        <f t="shared" si="110"/>
        <v>-55200</v>
      </c>
      <c r="AD29" s="94">
        <f t="shared" si="111"/>
        <v>-55200</v>
      </c>
      <c r="AE29" s="94">
        <f t="shared" si="112"/>
        <v>37.19512195</v>
      </c>
      <c r="AF29" s="95">
        <v>6000.0</v>
      </c>
      <c r="AG29" s="78"/>
      <c r="AH29" s="78"/>
      <c r="AI29" s="78"/>
      <c r="AJ29" s="37">
        <f t="shared" si="113"/>
        <v>732000</v>
      </c>
      <c r="AK29" s="37">
        <f t="shared" si="114"/>
        <v>223170.7317</v>
      </c>
      <c r="AL29" s="95" t="s">
        <v>254</v>
      </c>
      <c r="AM29" s="95">
        <v>10.0</v>
      </c>
      <c r="AN29" s="95">
        <f t="shared" si="115"/>
        <v>3.048780488</v>
      </c>
      <c r="AO29" s="95">
        <v>15000.0</v>
      </c>
      <c r="AP29" s="95">
        <v>0.0</v>
      </c>
      <c r="AQ29" s="95">
        <v>0.0</v>
      </c>
      <c r="AR29" s="87">
        <v>120000.0</v>
      </c>
      <c r="AS29" s="87">
        <v>100000.0</v>
      </c>
      <c r="AT29" s="78"/>
      <c r="AU29" s="78"/>
      <c r="AV29" s="78"/>
      <c r="AW29" s="78"/>
      <c r="AX29" s="78"/>
      <c r="AY29" s="78"/>
      <c r="AZ29" s="78"/>
      <c r="BA29" s="95" t="s">
        <v>262</v>
      </c>
      <c r="BB29" s="37">
        <f t="shared" si="116"/>
        <v>270000</v>
      </c>
      <c r="BC29" s="37">
        <f t="shared" si="117"/>
        <v>82317.07317</v>
      </c>
      <c r="BD29" s="37">
        <f t="shared" si="118"/>
        <v>100000</v>
      </c>
      <c r="BE29" s="37">
        <f t="shared" si="119"/>
        <v>30487.80488</v>
      </c>
      <c r="BF29" s="78"/>
      <c r="BG29" s="78"/>
      <c r="BH29" s="78"/>
      <c r="BI29" s="78"/>
      <c r="BJ29" s="78"/>
      <c r="BK29" s="78"/>
      <c r="BL29" s="78"/>
      <c r="BM29" s="78"/>
      <c r="BN29" s="78"/>
      <c r="BO29" s="78"/>
      <c r="BP29" s="78"/>
      <c r="BQ29" s="78"/>
      <c r="BR29" s="129">
        <v>0.0</v>
      </c>
      <c r="BS29" s="78"/>
      <c r="BT29" s="78"/>
      <c r="BU29" s="78"/>
      <c r="BV29" s="78"/>
      <c r="BW29" s="78"/>
      <c r="BX29" s="78"/>
      <c r="BY29" s="78"/>
      <c r="BZ29" s="78"/>
      <c r="CA29" s="78"/>
      <c r="CB29" s="95">
        <v>75000.0</v>
      </c>
      <c r="CC29" s="95">
        <f>CB29/H29</f>
        <v>22865.85366</v>
      </c>
      <c r="CD29" s="87">
        <f>22000*2</f>
        <v>44000</v>
      </c>
      <c r="CE29" s="87">
        <f t="shared" si="120"/>
        <v>13414.63415</v>
      </c>
      <c r="CF29" s="95">
        <v>0.0</v>
      </c>
      <c r="CG29" s="95">
        <v>0.0</v>
      </c>
      <c r="CH29" s="95">
        <v>0.0</v>
      </c>
      <c r="CI29" s="95">
        <v>0.0</v>
      </c>
      <c r="CJ29" s="78"/>
      <c r="CK29" s="78"/>
      <c r="CL29" s="78"/>
      <c r="CM29" s="78"/>
      <c r="CN29" s="78"/>
      <c r="CO29" s="90"/>
      <c r="CP29" s="87">
        <f t="shared" si="121"/>
        <v>122000</v>
      </c>
      <c r="CQ29" s="87">
        <f t="shared" si="122"/>
        <v>37195.12195</v>
      </c>
      <c r="CR29" s="87" t="s">
        <v>263</v>
      </c>
      <c r="CS29" s="37">
        <f t="shared" si="123"/>
        <v>119000</v>
      </c>
      <c r="CT29" s="95" t="s">
        <v>225</v>
      </c>
      <c r="CU29" s="87" t="s">
        <v>213</v>
      </c>
      <c r="CV29" s="87">
        <v>20.0</v>
      </c>
      <c r="CW29" s="136">
        <v>45338.0</v>
      </c>
      <c r="CX29" s="135"/>
      <c r="CY29" s="135"/>
      <c r="CZ29" s="87">
        <f t="shared" si="124"/>
        <v>125</v>
      </c>
      <c r="DA29" s="137">
        <v>45443.0</v>
      </c>
      <c r="DB29" s="138"/>
      <c r="DC29" s="78"/>
      <c r="DD29" s="78"/>
      <c r="DE29" s="78"/>
      <c r="DF29" s="78"/>
      <c r="DG29" s="105"/>
      <c r="DH29" s="78"/>
      <c r="DI29" s="78"/>
      <c r="DJ29" s="95" t="s">
        <v>227</v>
      </c>
      <c r="DK29" s="95">
        <f>7*40</f>
        <v>280</v>
      </c>
      <c r="DL29" s="78"/>
      <c r="DM29" s="95">
        <f>70000/DK29</f>
        <v>250</v>
      </c>
      <c r="DN29" s="78"/>
      <c r="DO29" s="78"/>
      <c r="DP29" s="78"/>
      <c r="DQ29" s="78"/>
      <c r="DR29" s="78"/>
      <c r="DS29" s="78"/>
      <c r="DT29" s="95">
        <f t="shared" si="125"/>
        <v>85.36585366</v>
      </c>
      <c r="DU29" s="78"/>
      <c r="DV29" s="78"/>
      <c r="DW29" s="78"/>
      <c r="DX29" s="37">
        <f t="shared" si="126"/>
        <v>70000</v>
      </c>
      <c r="DY29" s="37">
        <f>DX29/H29</f>
        <v>21341.46341</v>
      </c>
      <c r="DZ29" s="78"/>
      <c r="EA29" s="78"/>
      <c r="EB29" s="95">
        <f t="shared" si="127"/>
        <v>0</v>
      </c>
      <c r="EC29" s="78"/>
      <c r="ED29" s="78"/>
      <c r="EE29" s="78"/>
      <c r="EF29" s="95">
        <f t="shared" si="128"/>
        <v>0</v>
      </c>
      <c r="EG29" s="78"/>
      <c r="EH29" s="78"/>
      <c r="EI29" s="78"/>
      <c r="EJ29" s="95">
        <f t="shared" si="129"/>
        <v>0</v>
      </c>
      <c r="EK29" s="78"/>
      <c r="EL29" s="78"/>
      <c r="EM29" s="78"/>
      <c r="EN29" s="78"/>
      <c r="EO29" s="78"/>
      <c r="EP29" s="78"/>
      <c r="EQ29" s="78"/>
      <c r="ER29" s="37">
        <f t="shared" si="130"/>
        <v>0</v>
      </c>
      <c r="ES29" s="37">
        <f t="shared" si="131"/>
        <v>0</v>
      </c>
      <c r="ET29" s="87" t="s">
        <v>235</v>
      </c>
      <c r="EU29" s="87">
        <v>2.0</v>
      </c>
      <c r="EV29" s="95">
        <v>0.0</v>
      </c>
      <c r="EW29" s="95">
        <v>1200.0</v>
      </c>
      <c r="EX29" s="78"/>
      <c r="EY29" s="78"/>
      <c r="EZ29" s="78"/>
      <c r="FA29" s="78"/>
      <c r="FB29" s="78"/>
      <c r="FC29" s="78"/>
      <c r="FD29" s="78"/>
      <c r="FE29" s="78"/>
      <c r="FF29" s="78"/>
      <c r="FG29" s="78"/>
      <c r="FH29" s="78"/>
      <c r="FI29" s="78"/>
      <c r="FJ29" s="78"/>
      <c r="FK29" s="78"/>
      <c r="FL29" s="78"/>
      <c r="FM29" s="78"/>
      <c r="FN29" s="78"/>
      <c r="FO29" s="78"/>
      <c r="FP29" s="78"/>
      <c r="FQ29" s="78"/>
      <c r="FR29" s="78"/>
      <c r="FS29" s="78"/>
      <c r="FT29" s="78"/>
      <c r="FU29" s="78"/>
      <c r="FV29" s="78"/>
      <c r="FW29" s="78"/>
      <c r="FX29" s="95" t="s">
        <v>264</v>
      </c>
      <c r="FY29" s="37">
        <f t="shared" si="132"/>
        <v>0</v>
      </c>
      <c r="FZ29" s="37">
        <f t="shared" si="133"/>
        <v>0</v>
      </c>
      <c r="GA29" s="78"/>
      <c r="GB29" s="78"/>
      <c r="GC29" s="78"/>
      <c r="GD29" s="78"/>
      <c r="GE29" s="78"/>
      <c r="GF29" s="78"/>
      <c r="GG29" s="78"/>
      <c r="GH29" s="78"/>
      <c r="GI29" s="78"/>
      <c r="GJ29" s="78"/>
      <c r="GK29" s="78"/>
      <c r="GL29" s="78"/>
      <c r="GM29" s="78"/>
      <c r="GN29" s="78"/>
      <c r="GO29" s="78"/>
      <c r="GP29" s="78"/>
      <c r="GQ29" s="78"/>
      <c r="GR29" s="98">
        <f t="shared" si="134"/>
        <v>0</v>
      </c>
      <c r="GS29" s="98">
        <f t="shared" si="135"/>
        <v>0</v>
      </c>
      <c r="GT29" s="78"/>
      <c r="GU29" s="78"/>
      <c r="GV29" s="78"/>
      <c r="GW29" s="78"/>
      <c r="GX29" s="78"/>
      <c r="GY29" s="78"/>
      <c r="GZ29" s="95" t="s">
        <v>259</v>
      </c>
      <c r="HA29" s="78"/>
      <c r="HB29" s="78"/>
      <c r="HC29" s="78"/>
      <c r="HD29" s="78"/>
      <c r="HE29" s="78"/>
      <c r="HF29" s="78"/>
      <c r="HG29" s="78"/>
      <c r="HH29" s="90"/>
      <c r="HI29" s="139" t="s">
        <v>265</v>
      </c>
      <c r="HJ29" s="100"/>
      <c r="HK29" s="101"/>
      <c r="HL29" s="102"/>
    </row>
    <row r="31">
      <c r="A31" s="113" t="s">
        <v>266</v>
      </c>
    </row>
    <row r="32">
      <c r="A32" s="81" t="s">
        <v>267</v>
      </c>
      <c r="B32" s="82">
        <v>45.0</v>
      </c>
      <c r="C32" s="140">
        <v>13.0</v>
      </c>
      <c r="D32" s="140">
        <v>5.0</v>
      </c>
      <c r="E32" s="83">
        <v>7.0</v>
      </c>
      <c r="F32" s="83">
        <v>1.0</v>
      </c>
      <c r="G32" s="82" t="s">
        <v>176</v>
      </c>
      <c r="H32" s="84">
        <v>3.6</v>
      </c>
      <c r="I32" s="141">
        <f>H32/D32</f>
        <v>0.72</v>
      </c>
      <c r="J32" s="86">
        <f>DA32</f>
        <v>45451</v>
      </c>
      <c r="K32" s="95" t="s">
        <v>268</v>
      </c>
      <c r="L32" s="95" t="s">
        <v>269</v>
      </c>
      <c r="M32" s="37">
        <f>BB32+DX32+ER32+FY32+GR32+CS32</f>
        <v>205800</v>
      </c>
      <c r="N32" s="37">
        <f>M32/H32</f>
        <v>57166.66667</v>
      </c>
      <c r="O32" s="37">
        <f>BR32</f>
        <v>0</v>
      </c>
      <c r="P32" s="37">
        <f>O32/H32</f>
        <v>0</v>
      </c>
      <c r="Q32" s="37">
        <f>BD32+AJ32</f>
        <v>920370</v>
      </c>
      <c r="R32" s="37">
        <f>Q32/H32</f>
        <v>255658.3333</v>
      </c>
      <c r="S32" s="37">
        <f>Q32-M32</f>
        <v>714570</v>
      </c>
      <c r="T32" s="37">
        <f>S32/H32</f>
        <v>198491.6667</v>
      </c>
      <c r="U32" s="38">
        <f>Q32-O32-M32</f>
        <v>714570</v>
      </c>
      <c r="V32" s="38">
        <f>U32/H32</f>
        <v>198491.6667</v>
      </c>
      <c r="W32" s="95">
        <f>50*H32</f>
        <v>180</v>
      </c>
      <c r="X32" s="95">
        <v>1080000.0</v>
      </c>
      <c r="Y32" s="134">
        <v>45364.0</v>
      </c>
      <c r="Z32" s="142"/>
      <c r="AA32" s="91">
        <v>139.45</v>
      </c>
      <c r="AB32" s="104">
        <f>AA32-W32</f>
        <v>-40.55</v>
      </c>
      <c r="AC32" s="104">
        <f>ifs(AB32&lt;0,AB32*AF32,AB32&gt;0,0,AB32="","")</f>
        <v>-267630</v>
      </c>
      <c r="AD32" s="94">
        <f>IF(X32&lt;&gt;"", IFS(AB32&lt;0, AB32*AF32, AB32&gt;0, 0, AB32="", ""), 0)</f>
        <v>-267630</v>
      </c>
      <c r="AE32" s="94">
        <f>AA32/H32</f>
        <v>38.73611111</v>
      </c>
      <c r="AF32" s="95">
        <v>6600.0</v>
      </c>
      <c r="AG32" s="95">
        <f>(AA32*AF32)-(H32*50*6000)</f>
        <v>-159630</v>
      </c>
      <c r="AH32" s="78"/>
      <c r="AI32" s="78"/>
      <c r="AJ32" s="37">
        <f>AA32*AF32</f>
        <v>920370</v>
      </c>
      <c r="AK32" s="37">
        <f>AJ32/H32</f>
        <v>255658.3333</v>
      </c>
      <c r="AL32" s="95" t="s">
        <v>254</v>
      </c>
      <c r="AM32" s="95">
        <v>10.0</v>
      </c>
      <c r="AN32" s="95">
        <f>AM32/H32</f>
        <v>2.777777778</v>
      </c>
      <c r="AO32" s="95">
        <v>0.0</v>
      </c>
      <c r="AP32" s="78"/>
      <c r="AQ32" s="78"/>
      <c r="AR32" s="78"/>
      <c r="AS32" s="78"/>
      <c r="AT32" s="78"/>
      <c r="AU32" s="78"/>
      <c r="AV32" s="78"/>
      <c r="AW32" s="78"/>
      <c r="AX32" s="78"/>
      <c r="AY32" s="78"/>
      <c r="AZ32" s="78"/>
      <c r="BA32" s="95" t="s">
        <v>270</v>
      </c>
      <c r="BB32" s="37">
        <f>AM32*AO32+AR32+(AU32*AV32+AY32)</f>
        <v>0</v>
      </c>
      <c r="BC32" s="37">
        <f>BB32/H32</f>
        <v>0</v>
      </c>
      <c r="BD32" s="37">
        <f>(AP32*AQ32)+(AS32)+(AW32*AX32)+(AY32)</f>
        <v>0</v>
      </c>
      <c r="BE32" s="37">
        <f>BD32/H32</f>
        <v>0</v>
      </c>
      <c r="BF32" s="78"/>
      <c r="BG32" s="78"/>
      <c r="BH32" s="78"/>
      <c r="BI32" s="78"/>
      <c r="BJ32" s="78"/>
      <c r="BK32" s="78"/>
      <c r="BL32" s="78"/>
      <c r="BM32" s="78"/>
      <c r="BN32" s="78"/>
      <c r="BO32" s="78"/>
      <c r="BP32" s="78"/>
      <c r="BQ32" s="78"/>
      <c r="BR32" s="129">
        <v>0.0</v>
      </c>
      <c r="BS32" s="78"/>
      <c r="BT32" s="78"/>
      <c r="BU32" s="78"/>
      <c r="BV32" s="78"/>
      <c r="BW32" s="78"/>
      <c r="BX32" s="78"/>
      <c r="BY32" s="78"/>
      <c r="BZ32" s="78"/>
      <c r="CA32" s="78"/>
      <c r="CB32" s="95">
        <f>CC32*H32</f>
        <v>90000</v>
      </c>
      <c r="CC32" s="95">
        <v>25000.0</v>
      </c>
      <c r="CD32" s="95">
        <v>0.0</v>
      </c>
      <c r="CE32" s="95">
        <v>0.0</v>
      </c>
      <c r="CF32" s="95">
        <f>CG32*H32</f>
        <v>64800</v>
      </c>
      <c r="CG32" s="95">
        <v>18000.0</v>
      </c>
      <c r="CH32" s="95">
        <v>15000.0</v>
      </c>
      <c r="CI32" s="95">
        <v>0.0</v>
      </c>
      <c r="CJ32" s="78"/>
      <c r="CK32" s="78"/>
      <c r="CL32" s="78"/>
      <c r="CM32" s="78"/>
      <c r="CN32" s="78"/>
      <c r="CO32" s="90"/>
      <c r="CP32" s="87">
        <f>AA32*1000</f>
        <v>139450</v>
      </c>
      <c r="CQ32" s="87">
        <f>CP32/H32</f>
        <v>38736.11111</v>
      </c>
      <c r="CR32" s="95" t="s">
        <v>271</v>
      </c>
      <c r="CS32" s="37">
        <f>CB32+CD32+CF32+CH32+CI32+CK32+CL32+CM32+CN32</f>
        <v>169800</v>
      </c>
      <c r="CT32" s="95" t="s">
        <v>225</v>
      </c>
      <c r="CU32" s="95" t="s">
        <v>272</v>
      </c>
      <c r="CV32" s="95">
        <v>17.0</v>
      </c>
      <c r="CW32" s="143">
        <v>45348.0</v>
      </c>
      <c r="CX32" s="142"/>
      <c r="CY32" s="142"/>
      <c r="CZ32" s="87">
        <f>(DA32-CW32)+CV32</f>
        <v>120</v>
      </c>
      <c r="DA32" s="143">
        <v>45451.0</v>
      </c>
      <c r="DB32" s="142"/>
      <c r="DC32" s="78"/>
      <c r="DD32" s="78"/>
      <c r="DE32" s="78"/>
      <c r="DF32" s="78"/>
      <c r="DG32" s="105"/>
      <c r="DH32" s="78"/>
      <c r="DI32" s="78"/>
      <c r="DJ32" s="95" t="s">
        <v>227</v>
      </c>
      <c r="DK32" s="95">
        <f>40*6</f>
        <v>240</v>
      </c>
      <c r="DL32" s="87">
        <f>DK32/H32</f>
        <v>66.66666667</v>
      </c>
      <c r="DM32" s="95">
        <f>6*5000/DK32</f>
        <v>125</v>
      </c>
      <c r="DN32" s="78"/>
      <c r="DO32" s="78"/>
      <c r="DP32" s="78"/>
      <c r="DQ32" s="78"/>
      <c r="DR32" s="78"/>
      <c r="DS32" s="78"/>
      <c r="DT32" s="95">
        <f>(DK32+DO32+DR32)/H32</f>
        <v>66.66666667</v>
      </c>
      <c r="DU32" s="78"/>
      <c r="DV32" s="78"/>
      <c r="DW32" s="78"/>
      <c r="DX32" s="37">
        <f>DK32*DM32</f>
        <v>30000</v>
      </c>
      <c r="DY32" s="37">
        <f>DX32/H32</f>
        <v>8333.333333</v>
      </c>
      <c r="DZ32" s="95" t="s">
        <v>273</v>
      </c>
      <c r="EA32" s="95">
        <v>2.0</v>
      </c>
      <c r="EB32" s="95">
        <f>EA32/H32</f>
        <v>0.5555555556</v>
      </c>
      <c r="EC32" s="95">
        <f>3000*EA32</f>
        <v>6000</v>
      </c>
      <c r="ED32" s="78"/>
      <c r="EE32" s="78"/>
      <c r="EF32" s="95">
        <f>EE32/H32</f>
        <v>0</v>
      </c>
      <c r="EG32" s="78"/>
      <c r="EH32" s="78"/>
      <c r="EI32" s="78"/>
      <c r="EJ32" s="95">
        <f>EI32/H32</f>
        <v>0</v>
      </c>
      <c r="EK32" s="78"/>
      <c r="EL32" s="78"/>
      <c r="EM32" s="78"/>
      <c r="EN32" s="78"/>
      <c r="EO32" s="78"/>
      <c r="EP32" s="78"/>
      <c r="EQ32" s="78"/>
      <c r="ER32" s="37">
        <f>EC32+EG32+EK32+EN32</f>
        <v>6000</v>
      </c>
      <c r="ES32" s="37">
        <f>ER32/H32</f>
        <v>1666.666667</v>
      </c>
      <c r="ET32" s="87" t="s">
        <v>235</v>
      </c>
      <c r="EU32" s="95">
        <v>3.0</v>
      </c>
      <c r="EV32" s="95">
        <v>0.0</v>
      </c>
      <c r="EW32" s="95">
        <v>4000.0</v>
      </c>
      <c r="EX32" s="95">
        <v>2.0</v>
      </c>
      <c r="EY32" s="95">
        <v>1.0</v>
      </c>
      <c r="EZ32" s="78"/>
      <c r="FA32" s="78"/>
      <c r="FB32" s="78"/>
      <c r="FC32" s="78"/>
      <c r="FD32" s="78"/>
      <c r="FE32" s="78"/>
      <c r="FF32" s="78"/>
      <c r="FG32" s="78"/>
      <c r="FH32" s="78"/>
      <c r="FI32" s="78"/>
      <c r="FJ32" s="78"/>
      <c r="FK32" s="78"/>
      <c r="FL32" s="78"/>
      <c r="FM32" s="78"/>
      <c r="FN32" s="78"/>
      <c r="FO32" s="78"/>
      <c r="FP32" s="78"/>
      <c r="FQ32" s="78"/>
      <c r="FR32" s="78"/>
      <c r="FS32" s="78"/>
      <c r="FT32" s="78"/>
      <c r="FU32" s="78"/>
      <c r="FV32" s="78"/>
      <c r="FW32" s="78"/>
      <c r="FX32" s="95" t="s">
        <v>274</v>
      </c>
      <c r="FY32" s="37">
        <f>EV32</f>
        <v>0</v>
      </c>
      <c r="FZ32" s="37">
        <f>FY32/H32</f>
        <v>0</v>
      </c>
      <c r="GA32" s="78"/>
      <c r="GB32" s="78"/>
      <c r="GC32" s="78"/>
      <c r="GD32" s="78"/>
      <c r="GE32" s="78"/>
      <c r="GF32" s="78"/>
      <c r="GG32" s="78"/>
      <c r="GH32" s="78"/>
      <c r="GI32" s="78"/>
      <c r="GJ32" s="78"/>
      <c r="GK32" s="78"/>
      <c r="GL32" s="78"/>
      <c r="GM32" s="78"/>
      <c r="GN32" s="78"/>
      <c r="GO32" s="78"/>
      <c r="GP32" s="78"/>
      <c r="GQ32" s="78"/>
      <c r="GR32" s="98">
        <f>GB32*GC32+GH32*GI32+GN32*GO32</f>
        <v>0</v>
      </c>
      <c r="GS32" s="98">
        <f>GR32/H32</f>
        <v>0</v>
      </c>
      <c r="GT32" s="78"/>
      <c r="GU32" s="95" t="s">
        <v>208</v>
      </c>
      <c r="GV32" s="78"/>
      <c r="GW32" s="78"/>
      <c r="GX32" s="78"/>
      <c r="GY32" s="78"/>
      <c r="GZ32" s="78"/>
      <c r="HA32" s="78"/>
      <c r="HB32" s="78"/>
      <c r="HC32" s="78"/>
      <c r="HD32" s="78"/>
      <c r="HE32" s="78"/>
      <c r="HF32" s="78"/>
      <c r="HG32" s="95">
        <v>40.0</v>
      </c>
      <c r="HH32" s="87" t="s">
        <v>260</v>
      </c>
      <c r="HI32" s="106"/>
      <c r="HJ32" s="100"/>
      <c r="HK32" s="101"/>
      <c r="HL32" s="102"/>
    </row>
    <row r="33">
      <c r="A33" s="113" t="s">
        <v>275</v>
      </c>
    </row>
    <row r="34">
      <c r="A34" s="144" t="s">
        <v>205</v>
      </c>
      <c r="B34" s="82">
        <v>51.0</v>
      </c>
      <c r="C34" s="82">
        <v>42.0</v>
      </c>
      <c r="D34" s="82">
        <v>20.0</v>
      </c>
      <c r="E34" s="83">
        <v>9.0</v>
      </c>
      <c r="F34" s="83">
        <v>1.0</v>
      </c>
      <c r="G34" s="82" t="s">
        <v>176</v>
      </c>
      <c r="H34" s="84">
        <v>10.21</v>
      </c>
      <c r="I34" s="141">
        <f>H34/D34</f>
        <v>0.5105</v>
      </c>
      <c r="J34" s="86">
        <f>DA34</f>
        <v>45492</v>
      </c>
      <c r="K34" s="95" t="s">
        <v>177</v>
      </c>
      <c r="L34" s="95" t="s">
        <v>178</v>
      </c>
      <c r="M34" s="37">
        <f>BB34+DX34+ER34+FY34+GR34+CS34</f>
        <v>1125250</v>
      </c>
      <c r="N34" s="37">
        <f>M34/H34</f>
        <v>110210.5779</v>
      </c>
      <c r="O34" s="37">
        <f>BR34</f>
        <v>0</v>
      </c>
      <c r="P34" s="37">
        <f>O34/H34</f>
        <v>0</v>
      </c>
      <c r="Q34" s="37">
        <f>BD34+AJ34</f>
        <v>4091150</v>
      </c>
      <c r="R34" s="37">
        <f>Q34/H34</f>
        <v>400700.2938</v>
      </c>
      <c r="S34" s="37">
        <f>Q34-M34</f>
        <v>2965900</v>
      </c>
      <c r="T34" s="37">
        <f>S34/H34</f>
        <v>290489.716</v>
      </c>
      <c r="U34" s="38">
        <f>Q34-O34-M34</f>
        <v>2965900</v>
      </c>
      <c r="V34" s="38">
        <f>U34/H34</f>
        <v>290489.716</v>
      </c>
      <c r="W34" s="95">
        <f>50*H34</f>
        <v>510.5</v>
      </c>
      <c r="X34" s="95">
        <v>0.0</v>
      </c>
      <c r="Y34" s="78"/>
      <c r="Z34" s="142"/>
      <c r="AA34" s="91">
        <v>510.5</v>
      </c>
      <c r="AB34" s="104">
        <f>AA34-W34</f>
        <v>0</v>
      </c>
      <c r="AC34" s="104">
        <f>ifs(AB34&lt;0,AB34*AF34,AB34&gt;0,0,AB34="","")</f>
        <v>-0.0000000003581135388</v>
      </c>
      <c r="AD34" s="94">
        <f>IF(X34&lt;&gt;"", IFS(AB34&lt;0, AB34*AF34, AB34&gt;0, 0, AB34="", ""), 0)</f>
        <v>-0.0000000003581135388</v>
      </c>
      <c r="AE34" s="95">
        <f>AA34/H34</f>
        <v>50</v>
      </c>
      <c r="AF34" s="95">
        <v>6300.0</v>
      </c>
      <c r="AG34" s="95">
        <f>(AA34*AF34)-(H34*50*6000)</f>
        <v>153150</v>
      </c>
      <c r="AH34" s="78"/>
      <c r="AI34" s="78"/>
      <c r="AJ34" s="37">
        <f>AA34*AF34</f>
        <v>3216150</v>
      </c>
      <c r="AK34" s="37">
        <f>AJ34/H34</f>
        <v>315000</v>
      </c>
      <c r="AL34" s="145" t="s">
        <v>254</v>
      </c>
      <c r="AM34" s="145">
        <v>32.0</v>
      </c>
      <c r="AN34" s="95">
        <f>AM34/H34</f>
        <v>3.134182174</v>
      </c>
      <c r="AO34" s="95">
        <v>12000.0</v>
      </c>
      <c r="AP34" s="145">
        <v>25.0</v>
      </c>
      <c r="AQ34" s="95">
        <v>35000.0</v>
      </c>
      <c r="AR34" s="145">
        <v>256000.0</v>
      </c>
      <c r="AS34" s="146">
        <v>0.0</v>
      </c>
      <c r="AT34" s="147"/>
      <c r="AU34" s="147"/>
      <c r="AV34" s="147"/>
      <c r="AW34" s="147"/>
      <c r="AX34" s="147"/>
      <c r="AY34" s="147"/>
      <c r="AZ34" s="147"/>
      <c r="BA34" s="78"/>
      <c r="BB34" s="37">
        <f>AM34*AO34+AR34+(AU34*AV34+AY34)</f>
        <v>640000</v>
      </c>
      <c r="BC34" s="37">
        <f>BB34/H34</f>
        <v>62683.64349</v>
      </c>
      <c r="BD34" s="37">
        <f>(AP34*AQ34)+(AS34)+(AW34*AX34)+(AY34)</f>
        <v>875000</v>
      </c>
      <c r="BE34" s="37">
        <f>BD34/H34</f>
        <v>85700.29383</v>
      </c>
      <c r="BF34" s="78"/>
      <c r="BG34" s="78"/>
      <c r="BH34" s="78"/>
      <c r="BI34" s="78"/>
      <c r="BJ34" s="78"/>
      <c r="BK34" s="78"/>
      <c r="BL34" s="78"/>
      <c r="BM34" s="78"/>
      <c r="BN34" s="78"/>
      <c r="BO34" s="78"/>
      <c r="BP34" s="78"/>
      <c r="BQ34" s="78"/>
      <c r="BR34" s="129">
        <v>0.0</v>
      </c>
      <c r="BS34" s="100"/>
      <c r="BT34" s="100"/>
      <c r="BU34" s="100"/>
      <c r="BV34" s="100"/>
      <c r="BW34" s="100"/>
      <c r="BX34" s="100"/>
      <c r="BY34" s="100"/>
      <c r="BZ34" s="100"/>
      <c r="CA34" s="100"/>
      <c r="CB34" s="145">
        <f>CC34*H34</f>
        <v>255250</v>
      </c>
      <c r="CC34" s="145">
        <v>25000.0</v>
      </c>
      <c r="CD34" s="145">
        <f>(5*25000)+(5*12000)</f>
        <v>185000</v>
      </c>
      <c r="CE34" s="95">
        <f>CD34/H34</f>
        <v>18119.4907</v>
      </c>
      <c r="CF34" s="145">
        <v>0.0</v>
      </c>
      <c r="CG34" s="145">
        <v>0.0</v>
      </c>
      <c r="CH34" s="145">
        <v>45000.0</v>
      </c>
      <c r="CI34" s="145">
        <v>0.0</v>
      </c>
      <c r="CJ34" s="147"/>
      <c r="CK34" s="147"/>
      <c r="CL34" s="147"/>
      <c r="CM34" s="147"/>
      <c r="CN34" s="147"/>
      <c r="CO34" s="148"/>
      <c r="CP34" s="87">
        <f>AA34*1000</f>
        <v>510500</v>
      </c>
      <c r="CQ34" s="87">
        <f>CP34/H34</f>
        <v>50000</v>
      </c>
      <c r="CR34" s="78"/>
      <c r="CS34" s="37">
        <f>CB34+CD34+CF34+CH34+CI34+CK34+CL34+CM34+CN34</f>
        <v>485250</v>
      </c>
      <c r="CT34" s="95" t="s">
        <v>225</v>
      </c>
      <c r="CU34" s="95" t="s">
        <v>213</v>
      </c>
      <c r="CV34" s="95">
        <v>16.0</v>
      </c>
      <c r="CW34" s="143">
        <v>45397.0</v>
      </c>
      <c r="CX34" s="142"/>
      <c r="CY34" s="142"/>
      <c r="CZ34" s="87">
        <f>(DA34-CW34)+CV34</f>
        <v>111</v>
      </c>
      <c r="DA34" s="143">
        <v>45492.0</v>
      </c>
      <c r="DB34" s="142"/>
      <c r="DC34" s="95" t="s">
        <v>276</v>
      </c>
      <c r="DD34" s="95">
        <v>16.0</v>
      </c>
      <c r="DE34" s="143">
        <v>45397.0</v>
      </c>
      <c r="DF34" s="142"/>
      <c r="DG34" s="149">
        <v>45492.0</v>
      </c>
      <c r="DH34" s="87">
        <f>(DG34-DE34)+DD34</f>
        <v>111</v>
      </c>
      <c r="DI34" s="78"/>
      <c r="DJ34" s="145" t="s">
        <v>277</v>
      </c>
      <c r="DK34" s="145">
        <v>900.0</v>
      </c>
      <c r="DL34" s="87">
        <f>DK34/H34</f>
        <v>88.14887365</v>
      </c>
      <c r="DM34" s="150">
        <v>0.0</v>
      </c>
      <c r="DN34" s="147"/>
      <c r="DO34" s="147"/>
      <c r="DP34" s="147"/>
      <c r="DQ34" s="78"/>
      <c r="DR34" s="78"/>
      <c r="DS34" s="78"/>
      <c r="DT34" s="147"/>
      <c r="DU34" s="150">
        <v>1.0</v>
      </c>
      <c r="DV34" s="150">
        <v>1.0</v>
      </c>
      <c r="DW34" s="145" t="s">
        <v>278</v>
      </c>
      <c r="DX34" s="37">
        <f>DK34*DM34+DP34+DS34</f>
        <v>0</v>
      </c>
      <c r="DY34" s="37">
        <f>DX34/H34</f>
        <v>0</v>
      </c>
      <c r="DZ34" s="78"/>
      <c r="EA34" s="78"/>
      <c r="EB34" s="95">
        <f>EA34/H34</f>
        <v>0</v>
      </c>
      <c r="EC34" s="78"/>
      <c r="ED34" s="78"/>
      <c r="EE34" s="78"/>
      <c r="EF34" s="95">
        <f>EE34/H34</f>
        <v>0</v>
      </c>
      <c r="EG34" s="78"/>
      <c r="EH34" s="78"/>
      <c r="EI34" s="78"/>
      <c r="EJ34" s="95">
        <f>EI34/H34</f>
        <v>0</v>
      </c>
      <c r="EK34" s="78"/>
      <c r="EL34" s="78"/>
      <c r="EM34" s="78"/>
      <c r="EN34" s="78"/>
      <c r="EO34" s="78"/>
      <c r="EP34" s="78"/>
      <c r="EQ34" s="78"/>
      <c r="ER34" s="37">
        <f>EE34*EG34+EK34+EN34</f>
        <v>0</v>
      </c>
      <c r="ES34" s="37">
        <f>ER34/H34</f>
        <v>0</v>
      </c>
      <c r="ET34" s="95" t="s">
        <v>217</v>
      </c>
      <c r="EU34" s="95">
        <v>1.0</v>
      </c>
      <c r="EV34" s="95">
        <v>0.0</v>
      </c>
      <c r="EW34" s="95">
        <v>900.0</v>
      </c>
      <c r="EX34" s="95">
        <v>0.0</v>
      </c>
      <c r="EY34" s="95">
        <v>1.0</v>
      </c>
      <c r="EZ34" s="78"/>
      <c r="FA34" s="78"/>
      <c r="FB34" s="78"/>
      <c r="FC34" s="78"/>
      <c r="FD34" s="78"/>
      <c r="FE34" s="78"/>
      <c r="FF34" s="78"/>
      <c r="FG34" s="78"/>
      <c r="FH34" s="78"/>
      <c r="FI34" s="78"/>
      <c r="FJ34" s="78"/>
      <c r="FK34" s="78"/>
      <c r="FL34" s="78"/>
      <c r="FM34" s="78"/>
      <c r="FN34" s="78"/>
      <c r="FO34" s="78"/>
      <c r="FP34" s="78"/>
      <c r="FQ34" s="78"/>
      <c r="FR34" s="78"/>
      <c r="FS34" s="78"/>
      <c r="FT34" s="78"/>
      <c r="FU34" s="78"/>
      <c r="FV34" s="78"/>
      <c r="FW34" s="78"/>
      <c r="FX34" s="95" t="s">
        <v>279</v>
      </c>
      <c r="FY34" s="37">
        <f>EV34+FB34+FH34+FN34</f>
        <v>0</v>
      </c>
      <c r="FZ34" s="37">
        <f>FY34/H34</f>
        <v>0</v>
      </c>
      <c r="GA34" s="78"/>
      <c r="GB34" s="78"/>
      <c r="GC34" s="78"/>
      <c r="GD34" s="78"/>
      <c r="GE34" s="78"/>
      <c r="GF34" s="78"/>
      <c r="GG34" s="78"/>
      <c r="GH34" s="78"/>
      <c r="GI34" s="78"/>
      <c r="GJ34" s="78"/>
      <c r="GK34" s="78"/>
      <c r="GL34" s="78"/>
      <c r="GM34" s="78"/>
      <c r="GN34" s="78"/>
      <c r="GO34" s="78"/>
      <c r="GP34" s="78"/>
      <c r="GQ34" s="78"/>
      <c r="GR34" s="98">
        <f>GB34*GC34+GH34*GI34+GN34*GO34</f>
        <v>0</v>
      </c>
      <c r="GS34" s="98">
        <f>GR34/H34</f>
        <v>0</v>
      </c>
      <c r="GT34" s="95" t="s">
        <v>194</v>
      </c>
      <c r="GU34" s="78"/>
      <c r="GV34" s="78"/>
      <c r="GW34" s="78"/>
      <c r="GX34" s="78"/>
      <c r="GY34" s="78"/>
      <c r="GZ34" s="95" t="s">
        <v>259</v>
      </c>
      <c r="HA34" s="78"/>
      <c r="HB34" s="78"/>
      <c r="HC34" s="78"/>
      <c r="HD34" s="78"/>
      <c r="HE34" s="78"/>
      <c r="HF34" s="78"/>
      <c r="HG34" s="95">
        <v>40.0</v>
      </c>
      <c r="HH34" s="87" t="s">
        <v>220</v>
      </c>
      <c r="HI34" s="106"/>
      <c r="HJ34" s="100"/>
      <c r="HK34" s="101"/>
      <c r="HL34" s="102"/>
    </row>
    <row r="35">
      <c r="A35" s="113" t="s">
        <v>280</v>
      </c>
    </row>
    <row r="36">
      <c r="A36" s="81" t="s">
        <v>175</v>
      </c>
      <c r="B36" s="82">
        <v>54.0</v>
      </c>
      <c r="C36" s="82">
        <v>13.0</v>
      </c>
      <c r="D36" s="82">
        <v>17.0</v>
      </c>
      <c r="E36" s="83">
        <v>10.0</v>
      </c>
      <c r="F36" s="83">
        <v>3.0</v>
      </c>
      <c r="G36" s="82" t="s">
        <v>176</v>
      </c>
      <c r="H36" s="84">
        <v>6.6</v>
      </c>
      <c r="I36" s="141">
        <f t="shared" ref="I36:I39" si="136">H36/D36</f>
        <v>0.3882352941</v>
      </c>
      <c r="J36" s="86">
        <f t="shared" ref="J36:J39" si="137">DA36</f>
        <v>45510</v>
      </c>
      <c r="K36" s="87" t="s">
        <v>177</v>
      </c>
      <c r="L36" s="87" t="s">
        <v>178</v>
      </c>
      <c r="M36" s="37">
        <f t="shared" ref="M36:M39" si="138">BB36+DX36+ER36+FY36+GR36+CS36</f>
        <v>752200</v>
      </c>
      <c r="N36" s="37">
        <f t="shared" ref="N36:N39" si="139">M36/H36</f>
        <v>113969.697</v>
      </c>
      <c r="O36" s="37">
        <f t="shared" ref="O36:O39" si="140">BR36</f>
        <v>0</v>
      </c>
      <c r="P36" s="37">
        <f t="shared" ref="P36:P39" si="141">O36/H36</f>
        <v>0</v>
      </c>
      <c r="Q36" s="37">
        <f t="shared" ref="Q36:Q39" si="142">BD36+AJ36</f>
        <v>1962450</v>
      </c>
      <c r="R36" s="37">
        <f t="shared" ref="R36:R39" si="143">Q36/H36</f>
        <v>297340.9091</v>
      </c>
      <c r="S36" s="37">
        <f t="shared" ref="S36:S39" si="144">Q36-M36</f>
        <v>1210250</v>
      </c>
      <c r="T36" s="37">
        <f t="shared" ref="T36:T39" si="145">S36/H36</f>
        <v>183371.2121</v>
      </c>
      <c r="U36" s="38">
        <f t="shared" ref="U36:U39" si="146">Q36-O36-M36</f>
        <v>1210250</v>
      </c>
      <c r="V36" s="38">
        <f t="shared" ref="V36:V39" si="147">U36/H36</f>
        <v>183371.2121</v>
      </c>
      <c r="W36" s="95">
        <f t="shared" ref="W36:W39" si="148">50*H36</f>
        <v>330</v>
      </c>
      <c r="X36" s="95">
        <v>0.0</v>
      </c>
      <c r="Y36" s="78"/>
      <c r="Z36" s="151"/>
      <c r="AA36" s="91">
        <v>311.5</v>
      </c>
      <c r="AB36" s="104">
        <f t="shared" ref="AB36:AB39" si="149">AA36-W36</f>
        <v>-18.5</v>
      </c>
      <c r="AC36" s="104">
        <f t="shared" ref="AC36:AC39" si="150">ifs(AB36&lt;0,AB36*AF36,AB36&gt;0,0,AB36="","")</f>
        <v>-116550</v>
      </c>
      <c r="AD36" s="94">
        <f t="shared" ref="AD36:AD39" si="151">IF(X36&lt;&gt;"", IFS(AB36&lt;0, AB36*AF36, AB36&gt;0, 0, AB36="", ""), 0)</f>
        <v>-116550</v>
      </c>
      <c r="AE36" s="95">
        <f t="shared" ref="AE36:AE39" si="152">AA36/H36</f>
        <v>47.1969697</v>
      </c>
      <c r="AF36" s="95">
        <v>6300.0</v>
      </c>
      <c r="AG36" s="95">
        <f t="shared" ref="AG36:AG39" si="153">(AA36*AF36)-(H36*50*6000)</f>
        <v>-17550</v>
      </c>
      <c r="AH36" s="78"/>
      <c r="AI36" s="78"/>
      <c r="AJ36" s="37">
        <f t="shared" ref="AJ36:AJ39" si="154">AA36*AF36</f>
        <v>1962450</v>
      </c>
      <c r="AK36" s="37">
        <f t="shared" ref="AK36:AK39" si="155">AJ36/H36</f>
        <v>297340.9091</v>
      </c>
      <c r="AL36" s="95" t="s">
        <v>254</v>
      </c>
      <c r="AM36" s="95">
        <v>19.0</v>
      </c>
      <c r="AN36" s="95">
        <f t="shared" ref="AN36:AN39" si="156">AM36/H36</f>
        <v>2.878787879</v>
      </c>
      <c r="AO36" s="95">
        <v>12000.0</v>
      </c>
      <c r="AP36" s="95">
        <v>0.0</v>
      </c>
      <c r="AQ36" s="95">
        <v>0.0</v>
      </c>
      <c r="AR36" s="95">
        <v>25000.0</v>
      </c>
      <c r="AS36" s="95">
        <v>0.0</v>
      </c>
      <c r="AT36" s="78"/>
      <c r="AU36" s="78"/>
      <c r="AV36" s="78"/>
      <c r="AW36" s="78"/>
      <c r="AX36" s="78"/>
      <c r="AY36" s="78"/>
      <c r="AZ36" s="78"/>
      <c r="BA36" s="78"/>
      <c r="BB36" s="37">
        <f t="shared" ref="BB36:BB39" si="157">AM36*AO36+AR36+(AU36*AV36+AY36)</f>
        <v>253000</v>
      </c>
      <c r="BC36" s="37">
        <f t="shared" ref="BC36:BC39" si="158">BB36/H36</f>
        <v>38333.33333</v>
      </c>
      <c r="BD36" s="37">
        <f t="shared" ref="BD36:BD39" si="159">(AP36*AQ36)+(AS36)+(AW36*AX36)+(AY36)</f>
        <v>0</v>
      </c>
      <c r="BE36" s="37">
        <f t="shared" ref="BE36:BE39" si="160">BD36/H36</f>
        <v>0</v>
      </c>
      <c r="BF36" s="78"/>
      <c r="BG36" s="78"/>
      <c r="BH36" s="78"/>
      <c r="BI36" s="78"/>
      <c r="BJ36" s="78"/>
      <c r="BK36" s="78"/>
      <c r="BL36" s="78"/>
      <c r="BM36" s="78"/>
      <c r="BN36" s="78"/>
      <c r="BO36" s="78"/>
      <c r="BP36" s="78"/>
      <c r="BQ36" s="78"/>
      <c r="BR36" s="129">
        <v>0.0</v>
      </c>
      <c r="BS36" s="78"/>
      <c r="BT36" s="78"/>
      <c r="BU36" s="78"/>
      <c r="BV36" s="78"/>
      <c r="BW36" s="78"/>
      <c r="BX36" s="78"/>
      <c r="BY36" s="78"/>
      <c r="BZ36" s="78"/>
      <c r="CA36" s="78"/>
      <c r="CB36" s="95">
        <f>25000*H36</f>
        <v>165000</v>
      </c>
      <c r="CC36" s="150">
        <v>25000.0</v>
      </c>
      <c r="CD36" s="95">
        <f>3*20000</f>
        <v>60000</v>
      </c>
      <c r="CE36" s="95">
        <f>CD36/H36</f>
        <v>9090.909091</v>
      </c>
      <c r="CF36" s="95">
        <f>17000*H36</f>
        <v>112200</v>
      </c>
      <c r="CG36" s="95">
        <v>17000.0</v>
      </c>
      <c r="CH36" s="95">
        <v>12000.0</v>
      </c>
      <c r="CI36" s="95">
        <v>0.0</v>
      </c>
      <c r="CJ36" s="78"/>
      <c r="CK36" s="78"/>
      <c r="CL36" s="78"/>
      <c r="CM36" s="78"/>
      <c r="CN36" s="78"/>
      <c r="CO36" s="90"/>
      <c r="CP36" s="87">
        <f>AA35*1000</f>
        <v>0</v>
      </c>
      <c r="CQ36" s="87">
        <f t="shared" ref="CQ36:CQ39" si="161">CP36/H36</f>
        <v>0</v>
      </c>
      <c r="CR36" s="78"/>
      <c r="CS36" s="37">
        <f t="shared" ref="CS36:CS39" si="162">CB36+CD36+CF36+CH36+CI36+CK36+CL36+CM36+CN36</f>
        <v>349200</v>
      </c>
      <c r="CT36" s="95" t="s">
        <v>281</v>
      </c>
      <c r="CU36" s="95" t="s">
        <v>241</v>
      </c>
      <c r="CV36" s="95">
        <v>20.0</v>
      </c>
      <c r="CW36" s="152">
        <v>45394.0</v>
      </c>
      <c r="CX36" s="151"/>
      <c r="CY36" s="151"/>
      <c r="CZ36" s="87">
        <f t="shared" ref="CZ36:CZ39" si="163">(DA36-CW36)+CV36</f>
        <v>136</v>
      </c>
      <c r="DA36" s="152">
        <v>45510.0</v>
      </c>
      <c r="DB36" s="151"/>
      <c r="DC36" s="90"/>
      <c r="DD36" s="78"/>
      <c r="DE36" s="78"/>
      <c r="DF36" s="78"/>
      <c r="DG36" s="105"/>
      <c r="DH36" s="78"/>
      <c r="DI36" s="78"/>
      <c r="DJ36" s="95" t="s">
        <v>282</v>
      </c>
      <c r="DK36" s="95">
        <f>20*25</f>
        <v>500</v>
      </c>
      <c r="DL36" s="87">
        <f>DK36/H36</f>
        <v>75.75757576</v>
      </c>
      <c r="DM36" s="95">
        <f>(6000*25)/DK36</f>
        <v>300</v>
      </c>
      <c r="DN36" s="78"/>
      <c r="DO36" s="78"/>
      <c r="DP36" s="78"/>
      <c r="DQ36" s="78"/>
      <c r="DR36" s="78"/>
      <c r="DS36" s="78"/>
      <c r="DT36" s="95">
        <f>(DK36+DO36+DR36)/H36</f>
        <v>75.75757576</v>
      </c>
      <c r="DU36" s="95">
        <v>1.0</v>
      </c>
      <c r="DV36" s="78"/>
      <c r="DW36" s="78"/>
      <c r="DX36" s="37">
        <f t="shared" ref="DX36:DX37" si="164">DK36*DM36+DP36+DS36</f>
        <v>150000</v>
      </c>
      <c r="DY36" s="37">
        <f t="shared" ref="DY36:DY39" si="165">DX36/H36</f>
        <v>22727.27273</v>
      </c>
      <c r="DZ36" s="78"/>
      <c r="EA36" s="78"/>
      <c r="EB36" s="95">
        <f t="shared" ref="EB36:EB39" si="166">EA36/H36</f>
        <v>0</v>
      </c>
      <c r="EC36" s="78"/>
      <c r="ED36" s="78"/>
      <c r="EE36" s="78"/>
      <c r="EF36" s="95">
        <f t="shared" ref="EF36:EF39" si="167">EE36/H36</f>
        <v>0</v>
      </c>
      <c r="EG36" s="78"/>
      <c r="EH36" s="78"/>
      <c r="EI36" s="78"/>
      <c r="EJ36" s="95">
        <f t="shared" ref="EJ36:EJ39" si="168">EI36/H36</f>
        <v>0</v>
      </c>
      <c r="EK36" s="78"/>
      <c r="EL36" s="78"/>
      <c r="EM36" s="78"/>
      <c r="EN36" s="78"/>
      <c r="EO36" s="78"/>
      <c r="EP36" s="78"/>
      <c r="EQ36" s="78"/>
      <c r="ER36" s="37">
        <f t="shared" ref="ER36:ER39" si="169">EC36+EG36+EK36+EN36</f>
        <v>0</v>
      </c>
      <c r="ES36" s="37">
        <f t="shared" ref="ES36:ES39" si="170">ER36/H36</f>
        <v>0</v>
      </c>
      <c r="ET36" s="78"/>
      <c r="EU36" s="78"/>
      <c r="EV36" s="78"/>
      <c r="EW36" s="78"/>
      <c r="EX36" s="78"/>
      <c r="EY36" s="78"/>
      <c r="EZ36" s="78"/>
      <c r="FA36" s="78"/>
      <c r="FB36" s="78"/>
      <c r="FC36" s="78"/>
      <c r="FD36" s="78"/>
      <c r="FE36" s="78"/>
      <c r="FF36" s="78"/>
      <c r="FG36" s="78"/>
      <c r="FH36" s="78"/>
      <c r="FI36" s="78"/>
      <c r="FJ36" s="78"/>
      <c r="FK36" s="78"/>
      <c r="FL36" s="78"/>
      <c r="FM36" s="78"/>
      <c r="FN36" s="78"/>
      <c r="FO36" s="78"/>
      <c r="FP36" s="78"/>
      <c r="FQ36" s="78"/>
      <c r="FR36" s="78"/>
      <c r="FS36" s="78"/>
      <c r="FT36" s="78"/>
      <c r="FU36" s="78"/>
      <c r="FV36" s="78"/>
      <c r="FW36" s="78"/>
      <c r="FX36" s="78"/>
      <c r="FY36" s="37">
        <f t="shared" ref="FY36:FY39" si="171">EV36+FB36+FH36+FN36</f>
        <v>0</v>
      </c>
      <c r="FZ36" s="37">
        <f t="shared" ref="FZ36:FZ39" si="172">FY36/H36</f>
        <v>0</v>
      </c>
      <c r="GA36" s="78"/>
      <c r="GB36" s="78"/>
      <c r="GC36" s="78"/>
      <c r="GD36" s="78"/>
      <c r="GE36" s="78"/>
      <c r="GF36" s="78"/>
      <c r="GG36" s="78"/>
      <c r="GH36" s="78"/>
      <c r="GI36" s="78"/>
      <c r="GJ36" s="78"/>
      <c r="GK36" s="78"/>
      <c r="GL36" s="78"/>
      <c r="GM36" s="78"/>
      <c r="GN36" s="78"/>
      <c r="GO36" s="78"/>
      <c r="GP36" s="78"/>
      <c r="GQ36" s="78"/>
      <c r="GR36" s="98">
        <f t="shared" ref="GR36:GR39" si="173">GB36*GC36+GH36*GI36+GN36*GO36</f>
        <v>0</v>
      </c>
      <c r="GS36" s="98">
        <f t="shared" ref="GS36:GS39" si="174">GR36/H36</f>
        <v>0</v>
      </c>
      <c r="GT36" s="78"/>
      <c r="GU36" s="78"/>
      <c r="GV36" s="78"/>
      <c r="GW36" s="78"/>
      <c r="GX36" s="78"/>
      <c r="GY36" s="78"/>
      <c r="GZ36" s="95" t="s">
        <v>259</v>
      </c>
      <c r="HA36" s="78"/>
      <c r="HB36" s="78"/>
      <c r="HC36" s="78"/>
      <c r="HD36" s="78"/>
      <c r="HE36" s="78"/>
      <c r="HF36" s="78"/>
      <c r="HG36" s="95">
        <v>40.0</v>
      </c>
      <c r="HH36" s="87" t="s">
        <v>220</v>
      </c>
      <c r="HI36" s="106"/>
      <c r="HJ36" s="100"/>
      <c r="HK36" s="101"/>
      <c r="HL36" s="102"/>
    </row>
    <row r="37">
      <c r="A37" s="81" t="s">
        <v>189</v>
      </c>
      <c r="B37" s="82">
        <v>66.0</v>
      </c>
      <c r="C37" s="82">
        <v>25.0</v>
      </c>
      <c r="D37" s="82">
        <v>20.0</v>
      </c>
      <c r="E37" s="83">
        <v>10.0</v>
      </c>
      <c r="F37" s="83">
        <v>3.0</v>
      </c>
      <c r="G37" s="82" t="s">
        <v>176</v>
      </c>
      <c r="H37" s="84">
        <v>4.8</v>
      </c>
      <c r="I37" s="141">
        <f t="shared" si="136"/>
        <v>0.24</v>
      </c>
      <c r="J37" s="86">
        <f t="shared" si="137"/>
        <v>45504</v>
      </c>
      <c r="K37" s="87" t="s">
        <v>177</v>
      </c>
      <c r="L37" s="87" t="s">
        <v>178</v>
      </c>
      <c r="M37" s="37">
        <f t="shared" si="138"/>
        <v>120000</v>
      </c>
      <c r="N37" s="37">
        <f t="shared" si="139"/>
        <v>25000</v>
      </c>
      <c r="O37" s="37">
        <f t="shared" si="140"/>
        <v>0</v>
      </c>
      <c r="P37" s="37">
        <f t="shared" si="141"/>
        <v>0</v>
      </c>
      <c r="Q37" s="37">
        <f t="shared" si="142"/>
        <v>1827000</v>
      </c>
      <c r="R37" s="37">
        <f t="shared" si="143"/>
        <v>380625</v>
      </c>
      <c r="S37" s="37">
        <f t="shared" si="144"/>
        <v>1707000</v>
      </c>
      <c r="T37" s="37">
        <f t="shared" si="145"/>
        <v>355625</v>
      </c>
      <c r="U37" s="38">
        <f t="shared" si="146"/>
        <v>1707000</v>
      </c>
      <c r="V37" s="38">
        <f t="shared" si="147"/>
        <v>355625</v>
      </c>
      <c r="W37" s="95">
        <f t="shared" si="148"/>
        <v>240</v>
      </c>
      <c r="X37" s="95">
        <v>0.0</v>
      </c>
      <c r="Y37" s="78"/>
      <c r="Z37" s="151"/>
      <c r="AA37" s="91">
        <v>290.0</v>
      </c>
      <c r="AB37" s="92">
        <f t="shared" si="149"/>
        <v>50</v>
      </c>
      <c r="AC37" s="93">
        <f t="shared" si="150"/>
        <v>0</v>
      </c>
      <c r="AD37" s="94">
        <f t="shared" si="151"/>
        <v>0</v>
      </c>
      <c r="AE37" s="95">
        <f t="shared" si="152"/>
        <v>60.41666667</v>
      </c>
      <c r="AF37" s="95">
        <v>6300.0</v>
      </c>
      <c r="AG37" s="95">
        <f t="shared" si="153"/>
        <v>387000</v>
      </c>
      <c r="AH37" s="78"/>
      <c r="AI37" s="78"/>
      <c r="AJ37" s="37">
        <f t="shared" si="154"/>
        <v>1827000</v>
      </c>
      <c r="AK37" s="37">
        <f t="shared" si="155"/>
        <v>380625</v>
      </c>
      <c r="AL37" s="95" t="s">
        <v>254</v>
      </c>
      <c r="AM37" s="95">
        <v>9.0</v>
      </c>
      <c r="AN37" s="95">
        <f t="shared" si="156"/>
        <v>1.875</v>
      </c>
      <c r="AO37" s="95">
        <v>0.0</v>
      </c>
      <c r="AP37" s="95">
        <v>0.0</v>
      </c>
      <c r="AQ37" s="95">
        <v>0.0</v>
      </c>
      <c r="AR37" s="95">
        <v>0.0</v>
      </c>
      <c r="AS37" s="95">
        <v>0.0</v>
      </c>
      <c r="AT37" s="78"/>
      <c r="AU37" s="78"/>
      <c r="AV37" s="78"/>
      <c r="AW37" s="78"/>
      <c r="AX37" s="78"/>
      <c r="AY37" s="78"/>
      <c r="AZ37" s="78"/>
      <c r="BA37" s="78"/>
      <c r="BB37" s="37">
        <f t="shared" si="157"/>
        <v>0</v>
      </c>
      <c r="BC37" s="37">
        <f t="shared" si="158"/>
        <v>0</v>
      </c>
      <c r="BD37" s="37">
        <f t="shared" si="159"/>
        <v>0</v>
      </c>
      <c r="BE37" s="37">
        <f t="shared" si="160"/>
        <v>0</v>
      </c>
      <c r="BF37" s="78"/>
      <c r="BG37" s="78"/>
      <c r="BH37" s="78"/>
      <c r="BI37" s="78"/>
      <c r="BJ37" s="78"/>
      <c r="BK37" s="78"/>
      <c r="BL37" s="78"/>
      <c r="BM37" s="78"/>
      <c r="BN37" s="78"/>
      <c r="BO37" s="78"/>
      <c r="BP37" s="78"/>
      <c r="BQ37" s="78"/>
      <c r="BR37" s="129">
        <v>0.0</v>
      </c>
      <c r="BS37" s="78"/>
      <c r="BT37" s="78"/>
      <c r="BU37" s="78"/>
      <c r="BV37" s="78"/>
      <c r="BW37" s="78"/>
      <c r="BX37" s="78"/>
      <c r="BY37" s="78"/>
      <c r="BZ37" s="78"/>
      <c r="CA37" s="78"/>
      <c r="CB37" s="95">
        <f t="shared" ref="CB37:CB39" si="175">CC37*H37</f>
        <v>120000</v>
      </c>
      <c r="CC37" s="150">
        <v>25000.0</v>
      </c>
      <c r="CD37" s="95">
        <v>0.0</v>
      </c>
      <c r="CE37" s="95">
        <v>0.0</v>
      </c>
      <c r="CF37" s="95">
        <v>0.0</v>
      </c>
      <c r="CG37" s="95">
        <v>0.0</v>
      </c>
      <c r="CH37" s="95">
        <v>0.0</v>
      </c>
      <c r="CI37" s="95">
        <v>0.0</v>
      </c>
      <c r="CJ37" s="78"/>
      <c r="CK37" s="78"/>
      <c r="CL37" s="78"/>
      <c r="CM37" s="78"/>
      <c r="CN37" s="78"/>
      <c r="CO37" s="90"/>
      <c r="CP37" s="87">
        <f t="shared" ref="CP37:CP39" si="176">AA37*1000</f>
        <v>290000</v>
      </c>
      <c r="CQ37" s="87">
        <f t="shared" si="161"/>
        <v>60416.66667</v>
      </c>
      <c r="CR37" s="78"/>
      <c r="CS37" s="37">
        <f t="shared" si="162"/>
        <v>120000</v>
      </c>
      <c r="CT37" s="153" t="s">
        <v>281</v>
      </c>
      <c r="CU37" s="153" t="s">
        <v>283</v>
      </c>
      <c r="CV37" s="95">
        <v>15.0</v>
      </c>
      <c r="CW37" s="152">
        <v>45405.0</v>
      </c>
      <c r="CX37" s="151"/>
      <c r="CY37" s="151"/>
      <c r="CZ37" s="87">
        <f t="shared" si="163"/>
        <v>114</v>
      </c>
      <c r="DA37" s="152">
        <v>45504.0</v>
      </c>
      <c r="DB37" s="151"/>
      <c r="DC37" s="78"/>
      <c r="DD37" s="78"/>
      <c r="DE37" s="78"/>
      <c r="DF37" s="78"/>
      <c r="DG37" s="105"/>
      <c r="DH37" s="78"/>
      <c r="DI37" s="78"/>
      <c r="DJ37" s="78"/>
      <c r="DK37" s="78"/>
      <c r="DL37" s="90"/>
      <c r="DM37" s="78"/>
      <c r="DN37" s="78"/>
      <c r="DO37" s="78"/>
      <c r="DP37" s="78"/>
      <c r="DQ37" s="78"/>
      <c r="DR37" s="78"/>
      <c r="DS37" s="78"/>
      <c r="DT37" s="78"/>
      <c r="DU37" s="78"/>
      <c r="DV37" s="78"/>
      <c r="DW37" s="78"/>
      <c r="DX37" s="37">
        <f t="shared" si="164"/>
        <v>0</v>
      </c>
      <c r="DY37" s="37">
        <f t="shared" si="165"/>
        <v>0</v>
      </c>
      <c r="DZ37" s="78"/>
      <c r="EA37" s="78"/>
      <c r="EB37" s="95">
        <f t="shared" si="166"/>
        <v>0</v>
      </c>
      <c r="EC37" s="78"/>
      <c r="ED37" s="78"/>
      <c r="EE37" s="78"/>
      <c r="EF37" s="95">
        <f t="shared" si="167"/>
        <v>0</v>
      </c>
      <c r="EG37" s="78"/>
      <c r="EH37" s="78"/>
      <c r="EI37" s="78"/>
      <c r="EJ37" s="95">
        <f t="shared" si="168"/>
        <v>0</v>
      </c>
      <c r="EK37" s="78"/>
      <c r="EL37" s="78"/>
      <c r="EM37" s="78"/>
      <c r="EN37" s="78"/>
      <c r="EO37" s="78"/>
      <c r="EP37" s="78"/>
      <c r="EQ37" s="78"/>
      <c r="ER37" s="37">
        <f t="shared" si="169"/>
        <v>0</v>
      </c>
      <c r="ES37" s="37">
        <f t="shared" si="170"/>
        <v>0</v>
      </c>
      <c r="ET37" s="78"/>
      <c r="EU37" s="78"/>
      <c r="EV37" s="78"/>
      <c r="EW37" s="78"/>
      <c r="EX37" s="78"/>
      <c r="EY37" s="78"/>
      <c r="EZ37" s="78"/>
      <c r="FA37" s="78"/>
      <c r="FB37" s="78"/>
      <c r="FC37" s="78"/>
      <c r="FD37" s="78"/>
      <c r="FE37" s="78"/>
      <c r="FF37" s="78"/>
      <c r="FG37" s="78"/>
      <c r="FH37" s="78"/>
      <c r="FI37" s="78"/>
      <c r="FJ37" s="78"/>
      <c r="FK37" s="78"/>
      <c r="FL37" s="78"/>
      <c r="FM37" s="78"/>
      <c r="FN37" s="78"/>
      <c r="FO37" s="78"/>
      <c r="FP37" s="78"/>
      <c r="FQ37" s="78"/>
      <c r="FR37" s="78"/>
      <c r="FS37" s="78"/>
      <c r="FT37" s="78"/>
      <c r="FU37" s="78"/>
      <c r="FV37" s="78"/>
      <c r="FW37" s="78"/>
      <c r="FX37" s="78"/>
      <c r="FY37" s="37">
        <f t="shared" si="171"/>
        <v>0</v>
      </c>
      <c r="FZ37" s="37">
        <f t="shared" si="172"/>
        <v>0</v>
      </c>
      <c r="GA37" s="78"/>
      <c r="GB37" s="78"/>
      <c r="GC37" s="78"/>
      <c r="GD37" s="78"/>
      <c r="GE37" s="78"/>
      <c r="GF37" s="78"/>
      <c r="GG37" s="78"/>
      <c r="GH37" s="78"/>
      <c r="GI37" s="78"/>
      <c r="GJ37" s="78"/>
      <c r="GK37" s="78"/>
      <c r="GL37" s="78"/>
      <c r="GM37" s="78"/>
      <c r="GN37" s="78"/>
      <c r="GO37" s="78"/>
      <c r="GP37" s="78"/>
      <c r="GQ37" s="78"/>
      <c r="GR37" s="98">
        <f t="shared" si="173"/>
        <v>0</v>
      </c>
      <c r="GS37" s="98">
        <f t="shared" si="174"/>
        <v>0</v>
      </c>
      <c r="GT37" s="95" t="s">
        <v>194</v>
      </c>
      <c r="GU37" s="95" t="s">
        <v>208</v>
      </c>
      <c r="GV37" s="78"/>
      <c r="GW37" s="78"/>
      <c r="GX37" s="78"/>
      <c r="GY37" s="78"/>
      <c r="GZ37" s="78"/>
      <c r="HA37" s="78"/>
      <c r="HB37" s="78"/>
      <c r="HC37" s="78"/>
      <c r="HD37" s="78"/>
      <c r="HE37" s="78"/>
      <c r="HF37" s="78"/>
      <c r="HG37" s="95">
        <v>40.0</v>
      </c>
      <c r="HH37" s="87" t="s">
        <v>260</v>
      </c>
      <c r="HI37" s="106"/>
      <c r="HJ37" s="100"/>
      <c r="HK37" s="101"/>
      <c r="HL37" s="102"/>
    </row>
    <row r="38">
      <c r="A38" s="144" t="s">
        <v>202</v>
      </c>
      <c r="B38" s="82">
        <v>55.0</v>
      </c>
      <c r="C38" s="82">
        <v>115.0</v>
      </c>
      <c r="D38" s="82">
        <v>90.0</v>
      </c>
      <c r="E38" s="83">
        <v>10.0</v>
      </c>
      <c r="F38" s="83">
        <v>3.0</v>
      </c>
      <c r="G38" s="82" t="s">
        <v>176</v>
      </c>
      <c r="H38" s="84">
        <v>10.0</v>
      </c>
      <c r="I38" s="141">
        <f t="shared" si="136"/>
        <v>0.1111111111</v>
      </c>
      <c r="J38" s="86">
        <f t="shared" si="137"/>
        <v>45504</v>
      </c>
      <c r="K38" s="87" t="s">
        <v>177</v>
      </c>
      <c r="L38" s="87" t="s">
        <v>178</v>
      </c>
      <c r="M38" s="37">
        <f t="shared" si="138"/>
        <v>3501250</v>
      </c>
      <c r="N38" s="37">
        <f t="shared" si="139"/>
        <v>350125</v>
      </c>
      <c r="O38" s="37">
        <f t="shared" si="140"/>
        <v>0</v>
      </c>
      <c r="P38" s="37">
        <f t="shared" si="141"/>
        <v>0</v>
      </c>
      <c r="Q38" s="37">
        <f t="shared" si="142"/>
        <v>7189200</v>
      </c>
      <c r="R38" s="37">
        <f t="shared" si="143"/>
        <v>718920</v>
      </c>
      <c r="S38" s="37">
        <f t="shared" si="144"/>
        <v>3687950</v>
      </c>
      <c r="T38" s="37">
        <f t="shared" si="145"/>
        <v>368795</v>
      </c>
      <c r="U38" s="38">
        <f t="shared" si="146"/>
        <v>3687950</v>
      </c>
      <c r="V38" s="38">
        <f t="shared" si="147"/>
        <v>368795</v>
      </c>
      <c r="W38" s="95">
        <f t="shared" si="148"/>
        <v>500</v>
      </c>
      <c r="X38" s="95">
        <v>0.0</v>
      </c>
      <c r="Y38" s="78"/>
      <c r="Z38" s="142"/>
      <c r="AA38" s="91">
        <v>534.0</v>
      </c>
      <c r="AB38" s="92">
        <f t="shared" si="149"/>
        <v>34</v>
      </c>
      <c r="AC38" s="93">
        <f t="shared" si="150"/>
        <v>0</v>
      </c>
      <c r="AD38" s="94">
        <f t="shared" si="151"/>
        <v>0</v>
      </c>
      <c r="AE38" s="95">
        <f t="shared" si="152"/>
        <v>53.4</v>
      </c>
      <c r="AF38" s="95">
        <v>6300.0</v>
      </c>
      <c r="AG38" s="87">
        <f t="shared" si="153"/>
        <v>364200</v>
      </c>
      <c r="AH38" s="78"/>
      <c r="AI38" s="78"/>
      <c r="AJ38" s="37">
        <f t="shared" si="154"/>
        <v>3364200</v>
      </c>
      <c r="AK38" s="37">
        <f t="shared" si="155"/>
        <v>336420</v>
      </c>
      <c r="AL38" s="95" t="s">
        <v>254</v>
      </c>
      <c r="AM38" s="95">
        <v>32.0</v>
      </c>
      <c r="AN38" s="95">
        <f t="shared" si="156"/>
        <v>3.2</v>
      </c>
      <c r="AO38" s="95">
        <v>0.0</v>
      </c>
      <c r="AP38" s="78"/>
      <c r="AQ38" s="78"/>
      <c r="AR38" s="95">
        <f>7.75*415000</f>
        <v>3216250</v>
      </c>
      <c r="AS38" s="95">
        <f>(15*30*2500)+(18*30*2500)+(18*30*2500)</f>
        <v>3825000</v>
      </c>
      <c r="AT38" s="78"/>
      <c r="AU38" s="78"/>
      <c r="AV38" s="78"/>
      <c r="AW38" s="78"/>
      <c r="AX38" s="78"/>
      <c r="AY38" s="78"/>
      <c r="AZ38" s="78"/>
      <c r="BA38" s="78"/>
      <c r="BB38" s="37">
        <f t="shared" si="157"/>
        <v>3216250</v>
      </c>
      <c r="BC38" s="37">
        <f t="shared" si="158"/>
        <v>321625</v>
      </c>
      <c r="BD38" s="37">
        <f t="shared" si="159"/>
        <v>3825000</v>
      </c>
      <c r="BE38" s="37">
        <f t="shared" si="160"/>
        <v>382500</v>
      </c>
      <c r="BF38" s="78"/>
      <c r="BG38" s="78"/>
      <c r="BH38" s="78"/>
      <c r="BI38" s="78"/>
      <c r="BJ38" s="78"/>
      <c r="BK38" s="78"/>
      <c r="BL38" s="78"/>
      <c r="BM38" s="78"/>
      <c r="BN38" s="78"/>
      <c r="BO38" s="78"/>
      <c r="BP38" s="78"/>
      <c r="BQ38" s="78"/>
      <c r="BR38" s="129">
        <v>0.0</v>
      </c>
      <c r="BS38" s="78"/>
      <c r="BT38" s="78"/>
      <c r="BU38" s="78"/>
      <c r="BV38" s="78"/>
      <c r="BW38" s="78"/>
      <c r="BX38" s="78"/>
      <c r="BY38" s="78"/>
      <c r="BZ38" s="78"/>
      <c r="CA38" s="78"/>
      <c r="CB38" s="95">
        <f t="shared" si="175"/>
        <v>250000</v>
      </c>
      <c r="CC38" s="95">
        <v>25000.0</v>
      </c>
      <c r="CD38" s="95">
        <f>4*0</f>
        <v>0</v>
      </c>
      <c r="CE38" s="95">
        <f t="shared" ref="CE38:CE39" si="177">CD38/H38</f>
        <v>0</v>
      </c>
      <c r="CF38" s="95">
        <v>0.0</v>
      </c>
      <c r="CG38" s="95">
        <v>0.0</v>
      </c>
      <c r="CH38" s="95">
        <f>3.5*10000</f>
        <v>35000</v>
      </c>
      <c r="CI38" s="95">
        <v>0.0</v>
      </c>
      <c r="CJ38" s="78"/>
      <c r="CK38" s="78"/>
      <c r="CL38" s="78"/>
      <c r="CM38" s="78"/>
      <c r="CN38" s="78"/>
      <c r="CO38" s="90"/>
      <c r="CP38" s="87">
        <f t="shared" si="176"/>
        <v>534000</v>
      </c>
      <c r="CQ38" s="87">
        <f t="shared" si="161"/>
        <v>53400</v>
      </c>
      <c r="CR38" s="78"/>
      <c r="CS38" s="37">
        <f t="shared" si="162"/>
        <v>285000</v>
      </c>
      <c r="CT38" s="95" t="s">
        <v>225</v>
      </c>
      <c r="CU38" s="95" t="s">
        <v>213</v>
      </c>
      <c r="CV38" s="95">
        <v>14.0</v>
      </c>
      <c r="CW38" s="143">
        <v>45404.0</v>
      </c>
      <c r="CX38" s="142"/>
      <c r="CY38" s="142"/>
      <c r="CZ38" s="87">
        <f t="shared" si="163"/>
        <v>114</v>
      </c>
      <c r="DA38" s="143">
        <v>45504.0</v>
      </c>
      <c r="DB38" s="142"/>
      <c r="DC38" s="78"/>
      <c r="DD38" s="78"/>
      <c r="DE38" s="78"/>
      <c r="DF38" s="78"/>
      <c r="DG38" s="105"/>
      <c r="DH38" s="78"/>
      <c r="DI38" s="78"/>
      <c r="DJ38" s="95" t="s">
        <v>200</v>
      </c>
      <c r="DK38" s="95">
        <f>15*3</f>
        <v>45</v>
      </c>
      <c r="DL38" s="87">
        <f t="shared" ref="DL38:DL39" si="178">DK38/H38</f>
        <v>4.5</v>
      </c>
      <c r="DM38" s="95">
        <v>0.0</v>
      </c>
      <c r="DN38" s="95" t="s">
        <v>284</v>
      </c>
      <c r="DO38" s="95">
        <f>8*2.5*5</f>
        <v>100</v>
      </c>
      <c r="DP38" s="95">
        <v>0.0</v>
      </c>
      <c r="DQ38" s="78"/>
      <c r="DR38" s="78"/>
      <c r="DS38" s="78"/>
      <c r="DT38" s="95">
        <f>(DK38+DO38+DR38)/H38</f>
        <v>14.5</v>
      </c>
      <c r="DU38" s="95">
        <v>4.0</v>
      </c>
      <c r="DV38" s="95">
        <v>1.0</v>
      </c>
      <c r="DW38" s="95" t="s">
        <v>285</v>
      </c>
      <c r="DX38" s="37">
        <f>DK38*DM38+DO38*DP38</f>
        <v>0</v>
      </c>
      <c r="DY38" s="37">
        <f t="shared" si="165"/>
        <v>0</v>
      </c>
      <c r="DZ38" s="78"/>
      <c r="EA38" s="78"/>
      <c r="EB38" s="95">
        <f t="shared" si="166"/>
        <v>0</v>
      </c>
      <c r="EC38" s="78"/>
      <c r="ED38" s="78"/>
      <c r="EE38" s="78"/>
      <c r="EF38" s="95">
        <f t="shared" si="167"/>
        <v>0</v>
      </c>
      <c r="EG38" s="78"/>
      <c r="EH38" s="78"/>
      <c r="EI38" s="78"/>
      <c r="EJ38" s="95">
        <f t="shared" si="168"/>
        <v>0</v>
      </c>
      <c r="EK38" s="78"/>
      <c r="EL38" s="78"/>
      <c r="EM38" s="78"/>
      <c r="EN38" s="78"/>
      <c r="EO38" s="78"/>
      <c r="EP38" s="78"/>
      <c r="EQ38" s="78"/>
      <c r="ER38" s="37">
        <f t="shared" si="169"/>
        <v>0</v>
      </c>
      <c r="ES38" s="37">
        <f t="shared" si="170"/>
        <v>0</v>
      </c>
      <c r="ET38" s="95" t="s">
        <v>286</v>
      </c>
      <c r="EU38" s="95">
        <v>5.0</v>
      </c>
      <c r="EV38" s="95">
        <v>0.0</v>
      </c>
      <c r="EW38" s="95">
        <v>40000.0</v>
      </c>
      <c r="EX38" s="95">
        <v>4.0</v>
      </c>
      <c r="EY38" s="95">
        <v>1.0</v>
      </c>
      <c r="EZ38" s="78"/>
      <c r="FA38" s="78"/>
      <c r="FB38" s="78"/>
      <c r="FC38" s="78"/>
      <c r="FD38" s="78"/>
      <c r="FE38" s="78"/>
      <c r="FF38" s="78"/>
      <c r="FG38" s="78"/>
      <c r="FH38" s="78"/>
      <c r="FI38" s="78"/>
      <c r="FJ38" s="78"/>
      <c r="FK38" s="78"/>
      <c r="FL38" s="78"/>
      <c r="FM38" s="78"/>
      <c r="FN38" s="78"/>
      <c r="FO38" s="78"/>
      <c r="FP38" s="78"/>
      <c r="FQ38" s="78"/>
      <c r="FR38" s="78"/>
      <c r="FS38" s="78"/>
      <c r="FT38" s="78"/>
      <c r="FU38" s="78"/>
      <c r="FV38" s="78"/>
      <c r="FW38" s="78"/>
      <c r="FX38" s="95" t="s">
        <v>287</v>
      </c>
      <c r="FY38" s="37">
        <f t="shared" si="171"/>
        <v>0</v>
      </c>
      <c r="FZ38" s="37">
        <f t="shared" si="172"/>
        <v>0</v>
      </c>
      <c r="GA38" s="78"/>
      <c r="GB38" s="78"/>
      <c r="GC38" s="78"/>
      <c r="GD38" s="78"/>
      <c r="GE38" s="78"/>
      <c r="GF38" s="78"/>
      <c r="GG38" s="78"/>
      <c r="GH38" s="78"/>
      <c r="GI38" s="78"/>
      <c r="GJ38" s="78"/>
      <c r="GK38" s="78"/>
      <c r="GL38" s="78"/>
      <c r="GM38" s="78"/>
      <c r="GN38" s="78"/>
      <c r="GO38" s="78"/>
      <c r="GP38" s="78"/>
      <c r="GQ38" s="78"/>
      <c r="GR38" s="98">
        <f t="shared" si="173"/>
        <v>0</v>
      </c>
      <c r="GS38" s="98">
        <f t="shared" si="174"/>
        <v>0</v>
      </c>
      <c r="GT38" s="78"/>
      <c r="GU38" s="95" t="s">
        <v>208</v>
      </c>
      <c r="GV38" s="78"/>
      <c r="GW38" s="78"/>
      <c r="GX38" s="78"/>
      <c r="GY38" s="78"/>
      <c r="GZ38" s="78"/>
      <c r="HA38" s="78"/>
      <c r="HB38" s="78"/>
      <c r="HC38" s="78"/>
      <c r="HD38" s="78"/>
      <c r="HE38" s="78"/>
      <c r="HF38" s="78"/>
      <c r="HG38" s="95">
        <v>40.0</v>
      </c>
      <c r="HH38" s="87" t="s">
        <v>220</v>
      </c>
      <c r="HI38" s="106"/>
      <c r="HJ38" s="100"/>
      <c r="HK38" s="154">
        <v>3.0</v>
      </c>
      <c r="HL38" s="102"/>
    </row>
    <row r="39">
      <c r="A39" s="144" t="s">
        <v>205</v>
      </c>
      <c r="B39" s="109">
        <v>51.0</v>
      </c>
      <c r="C39" s="82">
        <v>42.0</v>
      </c>
      <c r="D39" s="82">
        <v>20.0</v>
      </c>
      <c r="E39" s="83">
        <v>10.0</v>
      </c>
      <c r="F39" s="83">
        <v>3.0</v>
      </c>
      <c r="G39" s="82" t="s">
        <v>176</v>
      </c>
      <c r="H39" s="111">
        <v>5.5</v>
      </c>
      <c r="I39" s="141">
        <f t="shared" si="136"/>
        <v>0.275</v>
      </c>
      <c r="J39" s="86">
        <f t="shared" si="137"/>
        <v>45492</v>
      </c>
      <c r="K39" s="87" t="s">
        <v>177</v>
      </c>
      <c r="L39" s="87" t="s">
        <v>178</v>
      </c>
      <c r="M39" s="37">
        <f t="shared" si="138"/>
        <v>642500</v>
      </c>
      <c r="N39" s="37">
        <f t="shared" si="139"/>
        <v>116818.1818</v>
      </c>
      <c r="O39" s="37">
        <f t="shared" si="140"/>
        <v>0</v>
      </c>
      <c r="P39" s="37">
        <f t="shared" si="141"/>
        <v>0</v>
      </c>
      <c r="Q39" s="37">
        <f t="shared" si="142"/>
        <v>2083550</v>
      </c>
      <c r="R39" s="37">
        <f t="shared" si="143"/>
        <v>378827.2727</v>
      </c>
      <c r="S39" s="37">
        <f t="shared" si="144"/>
        <v>1441050</v>
      </c>
      <c r="T39" s="37">
        <f t="shared" si="145"/>
        <v>262009.0909</v>
      </c>
      <c r="U39" s="38">
        <f t="shared" si="146"/>
        <v>1441050</v>
      </c>
      <c r="V39" s="38">
        <f t="shared" si="147"/>
        <v>262009.0909</v>
      </c>
      <c r="W39" s="95">
        <f t="shared" si="148"/>
        <v>275</v>
      </c>
      <c r="X39" s="95">
        <v>0.0</v>
      </c>
      <c r="Y39" s="78"/>
      <c r="Z39" s="142"/>
      <c r="AA39" s="91">
        <v>258.5</v>
      </c>
      <c r="AB39" s="104">
        <f t="shared" si="149"/>
        <v>-16.5</v>
      </c>
      <c r="AC39" s="104">
        <f t="shared" si="150"/>
        <v>-103950</v>
      </c>
      <c r="AD39" s="94">
        <f t="shared" si="151"/>
        <v>-103950</v>
      </c>
      <c r="AE39" s="95">
        <f t="shared" si="152"/>
        <v>47</v>
      </c>
      <c r="AF39" s="95">
        <v>6300.0</v>
      </c>
      <c r="AG39" s="87">
        <f t="shared" si="153"/>
        <v>-21450</v>
      </c>
      <c r="AH39" s="78"/>
      <c r="AI39" s="78"/>
      <c r="AJ39" s="37">
        <f t="shared" si="154"/>
        <v>1628550</v>
      </c>
      <c r="AK39" s="37">
        <f t="shared" si="155"/>
        <v>296100</v>
      </c>
      <c r="AL39" s="95" t="s">
        <v>254</v>
      </c>
      <c r="AM39" s="95">
        <v>18.0</v>
      </c>
      <c r="AN39" s="95">
        <f t="shared" si="156"/>
        <v>3.272727273</v>
      </c>
      <c r="AO39" s="95">
        <v>12000.0</v>
      </c>
      <c r="AP39" s="95">
        <v>13.0</v>
      </c>
      <c r="AQ39" s="95">
        <v>35000.0</v>
      </c>
      <c r="AR39" s="95">
        <v>144000.0</v>
      </c>
      <c r="AS39" s="95">
        <v>0.0</v>
      </c>
      <c r="AT39" s="78"/>
      <c r="AU39" s="78"/>
      <c r="AV39" s="78"/>
      <c r="AW39" s="78"/>
      <c r="AX39" s="78"/>
      <c r="AY39" s="78"/>
      <c r="AZ39" s="78"/>
      <c r="BA39" s="78"/>
      <c r="BB39" s="37">
        <f t="shared" si="157"/>
        <v>360000</v>
      </c>
      <c r="BC39" s="37">
        <f t="shared" si="158"/>
        <v>65454.54545</v>
      </c>
      <c r="BD39" s="37">
        <f t="shared" si="159"/>
        <v>455000</v>
      </c>
      <c r="BE39" s="37">
        <f t="shared" si="160"/>
        <v>82727.27273</v>
      </c>
      <c r="BF39" s="78"/>
      <c r="BG39" s="78"/>
      <c r="BH39" s="78"/>
      <c r="BI39" s="78"/>
      <c r="BJ39" s="78"/>
      <c r="BK39" s="78"/>
      <c r="BL39" s="78"/>
      <c r="BM39" s="78"/>
      <c r="BN39" s="78"/>
      <c r="BO39" s="78"/>
      <c r="BP39" s="78"/>
      <c r="BQ39" s="78"/>
      <c r="BR39" s="129">
        <v>0.0</v>
      </c>
      <c r="BS39" s="155"/>
      <c r="BT39" s="155"/>
      <c r="BU39" s="155"/>
      <c r="BV39" s="155"/>
      <c r="BW39" s="155"/>
      <c r="BX39" s="155"/>
      <c r="BY39" s="155"/>
      <c r="BZ39" s="155"/>
      <c r="CA39" s="155"/>
      <c r="CB39" s="156">
        <f t="shared" si="175"/>
        <v>137500</v>
      </c>
      <c r="CC39" s="95">
        <v>25000.0</v>
      </c>
      <c r="CD39" s="108">
        <f>25000*5</f>
        <v>125000</v>
      </c>
      <c r="CE39" s="95">
        <f t="shared" si="177"/>
        <v>22727.27273</v>
      </c>
      <c r="CF39" s="95">
        <v>0.0</v>
      </c>
      <c r="CG39" s="95">
        <v>0.0</v>
      </c>
      <c r="CH39" s="95">
        <v>20000.0</v>
      </c>
      <c r="CI39" s="108">
        <v>0.0</v>
      </c>
      <c r="CJ39" s="132"/>
      <c r="CK39" s="132"/>
      <c r="CL39" s="132"/>
      <c r="CM39" s="132"/>
      <c r="CN39" s="132"/>
      <c r="CO39" s="90"/>
      <c r="CP39" s="87">
        <f t="shared" si="176"/>
        <v>258500</v>
      </c>
      <c r="CQ39" s="87">
        <f t="shared" si="161"/>
        <v>47000</v>
      </c>
      <c r="CR39" s="78"/>
      <c r="CS39" s="37">
        <f t="shared" si="162"/>
        <v>282500</v>
      </c>
      <c r="CT39" s="95" t="s">
        <v>225</v>
      </c>
      <c r="CU39" s="95" t="s">
        <v>213</v>
      </c>
      <c r="CV39" s="95">
        <v>16.0</v>
      </c>
      <c r="CW39" s="143">
        <v>45397.0</v>
      </c>
      <c r="CX39" s="142"/>
      <c r="CY39" s="142"/>
      <c r="CZ39" s="87">
        <f t="shared" si="163"/>
        <v>111</v>
      </c>
      <c r="DA39" s="143">
        <v>45492.0</v>
      </c>
      <c r="DB39" s="142"/>
      <c r="DC39" s="78"/>
      <c r="DD39" s="78"/>
      <c r="DE39" s="142"/>
      <c r="DF39" s="78"/>
      <c r="DG39" s="105"/>
      <c r="DH39" s="78"/>
      <c r="DI39" s="78"/>
      <c r="DJ39" s="145" t="s">
        <v>277</v>
      </c>
      <c r="DK39" s="145">
        <v>600.0</v>
      </c>
      <c r="DL39" s="87">
        <f t="shared" si="178"/>
        <v>109.0909091</v>
      </c>
      <c r="DM39" s="150">
        <v>0.0</v>
      </c>
      <c r="DN39" s="147"/>
      <c r="DO39" s="147"/>
      <c r="DP39" s="147"/>
      <c r="DQ39" s="147"/>
      <c r="DR39" s="147"/>
      <c r="DS39" s="147"/>
      <c r="DT39" s="78"/>
      <c r="DU39" s="150">
        <v>1.0</v>
      </c>
      <c r="DV39" s="150">
        <v>1.0</v>
      </c>
      <c r="DW39" s="145" t="s">
        <v>288</v>
      </c>
      <c r="DX39" s="37">
        <f>DK39*DM39+DP39+DS39</f>
        <v>0</v>
      </c>
      <c r="DY39" s="37">
        <f t="shared" si="165"/>
        <v>0</v>
      </c>
      <c r="DZ39" s="78"/>
      <c r="EA39" s="78"/>
      <c r="EB39" s="95">
        <f t="shared" si="166"/>
        <v>0</v>
      </c>
      <c r="EC39" s="78"/>
      <c r="ED39" s="78"/>
      <c r="EE39" s="78"/>
      <c r="EF39" s="95">
        <f t="shared" si="167"/>
        <v>0</v>
      </c>
      <c r="EG39" s="78"/>
      <c r="EH39" s="78"/>
      <c r="EI39" s="78"/>
      <c r="EJ39" s="95">
        <f t="shared" si="168"/>
        <v>0</v>
      </c>
      <c r="EK39" s="78"/>
      <c r="EL39" s="78"/>
      <c r="EM39" s="78"/>
      <c r="EN39" s="78"/>
      <c r="EO39" s="78"/>
      <c r="EP39" s="78"/>
      <c r="EQ39" s="78"/>
      <c r="ER39" s="37">
        <f t="shared" si="169"/>
        <v>0</v>
      </c>
      <c r="ES39" s="37">
        <f t="shared" si="170"/>
        <v>0</v>
      </c>
      <c r="ET39" s="95" t="s">
        <v>217</v>
      </c>
      <c r="EU39" s="95">
        <v>1.0</v>
      </c>
      <c r="EV39" s="95">
        <v>0.0</v>
      </c>
      <c r="EW39" s="95">
        <v>600.0</v>
      </c>
      <c r="EX39" s="95">
        <v>0.0</v>
      </c>
      <c r="EY39" s="95">
        <v>1.0</v>
      </c>
      <c r="EZ39" s="78"/>
      <c r="FA39" s="78"/>
      <c r="FB39" s="78"/>
      <c r="FC39" s="78"/>
      <c r="FD39" s="78"/>
      <c r="FE39" s="78"/>
      <c r="FF39" s="78"/>
      <c r="FG39" s="78"/>
      <c r="FH39" s="78"/>
      <c r="FI39" s="78"/>
      <c r="FJ39" s="78"/>
      <c r="FK39" s="78"/>
      <c r="FL39" s="78"/>
      <c r="FM39" s="78"/>
      <c r="FN39" s="78"/>
      <c r="FO39" s="78"/>
      <c r="FP39" s="78"/>
      <c r="FQ39" s="78"/>
      <c r="FR39" s="78"/>
      <c r="FS39" s="78"/>
      <c r="FT39" s="78"/>
      <c r="FU39" s="78"/>
      <c r="FV39" s="78"/>
      <c r="FW39" s="78"/>
      <c r="FX39" s="95" t="s">
        <v>289</v>
      </c>
      <c r="FY39" s="37">
        <f t="shared" si="171"/>
        <v>0</v>
      </c>
      <c r="FZ39" s="37">
        <f t="shared" si="172"/>
        <v>0</v>
      </c>
      <c r="GA39" s="78"/>
      <c r="GB39" s="78"/>
      <c r="GC39" s="78"/>
      <c r="GD39" s="78"/>
      <c r="GE39" s="78"/>
      <c r="GF39" s="78"/>
      <c r="GG39" s="78"/>
      <c r="GH39" s="78"/>
      <c r="GI39" s="78"/>
      <c r="GJ39" s="78"/>
      <c r="GK39" s="78"/>
      <c r="GL39" s="78"/>
      <c r="GM39" s="78"/>
      <c r="GN39" s="78"/>
      <c r="GO39" s="78"/>
      <c r="GP39" s="78"/>
      <c r="GQ39" s="78"/>
      <c r="GR39" s="98">
        <f t="shared" si="173"/>
        <v>0</v>
      </c>
      <c r="GS39" s="98">
        <f t="shared" si="174"/>
        <v>0</v>
      </c>
      <c r="GT39" s="95" t="s">
        <v>194</v>
      </c>
      <c r="GU39" s="78"/>
      <c r="GV39" s="78"/>
      <c r="GW39" s="78"/>
      <c r="GX39" s="78"/>
      <c r="GY39" s="78"/>
      <c r="GZ39" s="95" t="s">
        <v>259</v>
      </c>
      <c r="HA39" s="78"/>
      <c r="HB39" s="78"/>
      <c r="HC39" s="78"/>
      <c r="HD39" s="78"/>
      <c r="HE39" s="78"/>
      <c r="HF39" s="78"/>
      <c r="HG39" s="95">
        <v>40.0</v>
      </c>
      <c r="HH39" s="87" t="s">
        <v>220</v>
      </c>
      <c r="HI39" s="106"/>
      <c r="HJ39" s="100"/>
      <c r="HK39" s="101"/>
      <c r="HL39" s="102"/>
    </row>
    <row r="40">
      <c r="A40" s="113" t="s">
        <v>290</v>
      </c>
    </row>
    <row r="41">
      <c r="A41" s="114" t="s">
        <v>253</v>
      </c>
      <c r="B41" s="126"/>
      <c r="C41" s="115">
        <v>24.0</v>
      </c>
      <c r="D41" s="115">
        <v>17.0</v>
      </c>
      <c r="E41" s="117">
        <v>16.0</v>
      </c>
      <c r="F41" s="117">
        <v>2.0</v>
      </c>
      <c r="G41" s="115" t="s">
        <v>176</v>
      </c>
      <c r="H41" s="118">
        <v>6.35</v>
      </c>
      <c r="I41" s="119">
        <f>H41/D41</f>
        <v>0.3735294118</v>
      </c>
      <c r="J41" s="86">
        <v>45597.0</v>
      </c>
      <c r="K41" s="95" t="s">
        <v>177</v>
      </c>
      <c r="L41" s="95" t="s">
        <v>211</v>
      </c>
      <c r="M41" s="37">
        <f>BB41+DX41+ER41+FY41+GR41+CS41</f>
        <v>273050</v>
      </c>
      <c r="N41" s="37">
        <f>M41/H41</f>
        <v>43000</v>
      </c>
      <c r="O41" s="37">
        <f>BR41</f>
        <v>0</v>
      </c>
      <c r="P41" s="37">
        <f>O41/H41</f>
        <v>0</v>
      </c>
      <c r="Q41" s="37">
        <f>BD41+AJ41</f>
        <v>2393200</v>
      </c>
      <c r="R41" s="37">
        <f>Q41/H41</f>
        <v>376881.8898</v>
      </c>
      <c r="S41" s="37">
        <f>Q41-M41</f>
        <v>2120150</v>
      </c>
      <c r="T41" s="37">
        <f>S41/H41</f>
        <v>333881.8898</v>
      </c>
      <c r="U41" s="38">
        <f>Q41-O41-M41</f>
        <v>2120150</v>
      </c>
      <c r="V41" s="38">
        <f>U41/H41</f>
        <v>333881.8898</v>
      </c>
      <c r="W41" s="95">
        <f>50*H41</f>
        <v>317.5</v>
      </c>
      <c r="X41" s="95">
        <v>0.0</v>
      </c>
      <c r="Y41" s="78"/>
      <c r="Z41" s="157">
        <v>45570.0</v>
      </c>
      <c r="AA41" s="91">
        <v>386.0</v>
      </c>
      <c r="AB41" s="158">
        <f>AA41-W41</f>
        <v>68.5</v>
      </c>
      <c r="AC41" s="93">
        <f>ifs(AB41&lt;0,AB41*AF41,AB41&gt;0,0,AB41="","")</f>
        <v>0</v>
      </c>
      <c r="AD41" s="94">
        <f>IF(X41&lt;&gt;"", IFS(AB41&lt;0, AB41*AF41, AB41&gt;0, 0, AB41="", ""), 0)</f>
        <v>0</v>
      </c>
      <c r="AE41" s="159">
        <f>AA41/H41</f>
        <v>60.78740157</v>
      </c>
      <c r="AF41" s="95">
        <v>6200.0</v>
      </c>
      <c r="AG41" s="95">
        <f>(AA41*AF41)-(H41*50*6000)</f>
        <v>488200</v>
      </c>
      <c r="AH41" s="78"/>
      <c r="AI41" s="78"/>
      <c r="AJ41" s="37">
        <f>AA41*AF41</f>
        <v>2393200</v>
      </c>
      <c r="AK41" s="37">
        <f>AJ41/H41</f>
        <v>376881.8898</v>
      </c>
      <c r="AL41" s="95" t="s">
        <v>254</v>
      </c>
      <c r="AM41" s="95">
        <v>5.0</v>
      </c>
      <c r="AN41" s="78"/>
      <c r="AO41" s="78"/>
      <c r="AP41" s="95">
        <f>50000*5</f>
        <v>250000</v>
      </c>
      <c r="AQ41" s="78"/>
      <c r="AR41" s="78"/>
      <c r="AS41" s="78"/>
      <c r="AT41" s="78"/>
      <c r="AU41" s="78"/>
      <c r="AV41" s="78"/>
      <c r="AW41" s="78"/>
      <c r="AX41" s="78"/>
      <c r="AY41" s="78"/>
      <c r="AZ41" s="78"/>
      <c r="BA41" s="78"/>
      <c r="BB41" s="37">
        <f>AM41*AO41+AR41+(AU41*AV41+AY41)</f>
        <v>0</v>
      </c>
      <c r="BC41" s="37">
        <f>BB41/H41</f>
        <v>0</v>
      </c>
      <c r="BD41" s="37">
        <f>(AP41*AQ41)+AS41+(AW41*AX41)+AZ41</f>
        <v>0</v>
      </c>
      <c r="BE41" s="37">
        <f>BD41/H41</f>
        <v>0</v>
      </c>
      <c r="BF41" s="78"/>
      <c r="BG41" s="78"/>
      <c r="BH41" s="78"/>
      <c r="BI41" s="78"/>
      <c r="BJ41" s="78"/>
      <c r="BK41" s="78"/>
      <c r="BL41" s="78"/>
      <c r="BM41" s="78"/>
      <c r="BN41" s="78"/>
      <c r="BO41" s="78"/>
      <c r="BP41" s="78"/>
      <c r="BQ41" s="78"/>
      <c r="BR41" s="129">
        <v>0.0</v>
      </c>
      <c r="BS41" s="78"/>
      <c r="BT41" s="78"/>
      <c r="BU41" s="78"/>
      <c r="BV41" s="78"/>
      <c r="BW41" s="78"/>
      <c r="BX41" s="78"/>
      <c r="BY41" s="78"/>
      <c r="BZ41" s="78"/>
      <c r="CA41" s="78"/>
      <c r="CB41" s="95">
        <f>CC41*H41</f>
        <v>158750</v>
      </c>
      <c r="CC41" s="95">
        <v>25000.0</v>
      </c>
      <c r="CD41" s="95">
        <v>0.0</v>
      </c>
      <c r="CE41" s="95">
        <v>0.0</v>
      </c>
      <c r="CF41" s="95">
        <f>CG41*H41</f>
        <v>114300</v>
      </c>
      <c r="CG41" s="95">
        <v>18000.0</v>
      </c>
      <c r="CH41" s="95">
        <v>0.0</v>
      </c>
      <c r="CI41" s="95">
        <v>0.0</v>
      </c>
      <c r="CJ41" s="95">
        <v>0.0</v>
      </c>
      <c r="CK41" s="95">
        <v>0.0</v>
      </c>
      <c r="CL41" s="95">
        <v>0.0</v>
      </c>
      <c r="CM41" s="95">
        <v>0.0</v>
      </c>
      <c r="CN41" s="78"/>
      <c r="CO41" s="87">
        <v>1200.0</v>
      </c>
      <c r="CP41" s="87">
        <f>AA41*1200</f>
        <v>463200</v>
      </c>
      <c r="CQ41" s="87">
        <f>CP41/H41</f>
        <v>72944.88189</v>
      </c>
      <c r="CR41" s="78"/>
      <c r="CS41" s="37">
        <f>CB41+CD41+CF41+CH41+CI41+CK41+CL41+CM41+CN41</f>
        <v>273050</v>
      </c>
      <c r="CT41" s="95" t="s">
        <v>281</v>
      </c>
      <c r="CU41" s="95" t="s">
        <v>226</v>
      </c>
      <c r="CV41" s="95">
        <v>20.0</v>
      </c>
      <c r="CW41" s="143">
        <v>45490.0</v>
      </c>
      <c r="CX41" s="142"/>
      <c r="CY41" s="142"/>
      <c r="CZ41" s="87">
        <f>(DA41-CW41)+CV41</f>
        <v>129</v>
      </c>
      <c r="DA41" s="143">
        <v>45599.0</v>
      </c>
      <c r="DB41" s="82" t="s">
        <v>291</v>
      </c>
      <c r="DC41" s="78"/>
      <c r="DD41" s="78"/>
      <c r="DE41" s="78"/>
      <c r="DF41" s="78"/>
      <c r="DG41" s="105"/>
      <c r="DH41" s="78"/>
      <c r="DI41" s="78"/>
      <c r="DJ41" s="95" t="s">
        <v>187</v>
      </c>
      <c r="DK41" s="95">
        <f>10*30</f>
        <v>300</v>
      </c>
      <c r="DL41" s="87">
        <f>DK41/H41</f>
        <v>47.24409449</v>
      </c>
      <c r="DM41" s="95">
        <v>0.0</v>
      </c>
      <c r="DN41" s="78"/>
      <c r="DO41" s="78"/>
      <c r="DP41" s="78"/>
      <c r="DQ41" s="78"/>
      <c r="DR41" s="78"/>
      <c r="DS41" s="78"/>
      <c r="DT41" s="95">
        <f>(DK41+DO41+DR41)/H41</f>
        <v>47.24409449</v>
      </c>
      <c r="DU41" s="95">
        <v>1.0</v>
      </c>
      <c r="DV41" s="95">
        <v>0.0</v>
      </c>
      <c r="DW41" s="78"/>
      <c r="DX41" s="37">
        <f>DK41*DM41+DP41+DS41</f>
        <v>0</v>
      </c>
      <c r="DY41" s="37">
        <f>DX41/H41</f>
        <v>0</v>
      </c>
      <c r="DZ41" s="78"/>
      <c r="EA41" s="78"/>
      <c r="EB41" s="95">
        <f>EA41/H41</f>
        <v>0</v>
      </c>
      <c r="EC41" s="78"/>
      <c r="ED41" s="78"/>
      <c r="EE41" s="78"/>
      <c r="EF41" s="95">
        <f>EE41/H41</f>
        <v>0</v>
      </c>
      <c r="EG41" s="78"/>
      <c r="EH41" s="78"/>
      <c r="EI41" s="78"/>
      <c r="EJ41" s="95">
        <f>EI41/H41</f>
        <v>0</v>
      </c>
      <c r="EK41" s="78"/>
      <c r="EL41" s="78"/>
      <c r="EM41" s="78"/>
      <c r="EN41" s="78"/>
      <c r="EO41" s="78"/>
      <c r="EP41" s="78"/>
      <c r="EQ41" s="78"/>
      <c r="ER41" s="37">
        <f>EC41+EG41+EK41+EN41</f>
        <v>0</v>
      </c>
      <c r="ES41" s="37">
        <f>ER41/H41</f>
        <v>0</v>
      </c>
      <c r="ET41" s="78"/>
      <c r="EU41" s="78"/>
      <c r="EV41" s="78"/>
      <c r="EW41" s="78"/>
      <c r="EX41" s="78"/>
      <c r="EY41" s="78"/>
      <c r="EZ41" s="78"/>
      <c r="FA41" s="78"/>
      <c r="FB41" s="78"/>
      <c r="FC41" s="78"/>
      <c r="FD41" s="78"/>
      <c r="FE41" s="78"/>
      <c r="FF41" s="78"/>
      <c r="FG41" s="78"/>
      <c r="FH41" s="78"/>
      <c r="FI41" s="78"/>
      <c r="FJ41" s="78"/>
      <c r="FK41" s="78"/>
      <c r="FL41" s="78"/>
      <c r="FM41" s="78"/>
      <c r="FN41" s="78"/>
      <c r="FO41" s="78"/>
      <c r="FP41" s="78"/>
      <c r="FQ41" s="78"/>
      <c r="FR41" s="78"/>
      <c r="FS41" s="78"/>
      <c r="FT41" s="78"/>
      <c r="FU41" s="78"/>
      <c r="FV41" s="78"/>
      <c r="FW41" s="78"/>
      <c r="FX41" s="78"/>
      <c r="FY41" s="37">
        <f>EV41+FB41+FH41+FN41</f>
        <v>0</v>
      </c>
      <c r="FZ41" s="37">
        <f>FY41/H41</f>
        <v>0</v>
      </c>
      <c r="GA41" s="78"/>
      <c r="GB41" s="78"/>
      <c r="GC41" s="78"/>
      <c r="GD41" s="78"/>
      <c r="GE41" s="78"/>
      <c r="GF41" s="78"/>
      <c r="GG41" s="78"/>
      <c r="GH41" s="78"/>
      <c r="GI41" s="78"/>
      <c r="GJ41" s="78"/>
      <c r="GK41" s="78"/>
      <c r="GL41" s="78"/>
      <c r="GM41" s="78"/>
      <c r="GN41" s="78"/>
      <c r="GO41" s="78"/>
      <c r="GP41" s="78"/>
      <c r="GQ41" s="78"/>
      <c r="GR41" s="98">
        <f>GB41*GC41+GH41*GI41+GN41*GO41</f>
        <v>0</v>
      </c>
      <c r="GS41" s="98">
        <f>GR41/H41</f>
        <v>0</v>
      </c>
      <c r="GT41" s="78"/>
      <c r="GU41" s="95" t="s">
        <v>208</v>
      </c>
      <c r="GV41" s="95" t="s">
        <v>219</v>
      </c>
      <c r="GW41" s="78"/>
      <c r="GX41" s="78"/>
      <c r="GY41" s="78"/>
      <c r="GZ41" s="78"/>
      <c r="HA41" s="78"/>
      <c r="HB41" s="78"/>
      <c r="HC41" s="78"/>
      <c r="HD41" s="78"/>
      <c r="HE41" s="78"/>
      <c r="HF41" s="78"/>
      <c r="HG41" s="78"/>
      <c r="HH41" s="78"/>
      <c r="HI41" s="106"/>
      <c r="HJ41" s="100"/>
      <c r="HK41" s="101"/>
      <c r="HL41" s="102"/>
    </row>
    <row r="42">
      <c r="A42" s="113" t="s">
        <v>292</v>
      </c>
      <c r="B42" s="125"/>
      <c r="C42" s="121"/>
      <c r="D42" s="121"/>
      <c r="E42" s="123"/>
      <c r="F42" s="123"/>
      <c r="G42" s="121"/>
      <c r="H42" s="124"/>
      <c r="I42" s="124"/>
    </row>
    <row r="43">
      <c r="A43" s="144" t="s">
        <v>193</v>
      </c>
      <c r="B43" s="132"/>
      <c r="C43" s="132"/>
      <c r="D43" s="132"/>
      <c r="E43" s="83">
        <v>19.0</v>
      </c>
      <c r="F43" s="83">
        <v>4.0</v>
      </c>
      <c r="G43" s="82" t="s">
        <v>176</v>
      </c>
      <c r="H43" s="84">
        <v>3.6</v>
      </c>
      <c r="I43" s="132"/>
      <c r="J43" s="86">
        <v>45661.0</v>
      </c>
      <c r="K43" s="95" t="s">
        <v>177</v>
      </c>
      <c r="L43" s="95" t="s">
        <v>178</v>
      </c>
      <c r="M43" s="37">
        <f t="shared" ref="M43:M44" si="179">BB43+DX43+ER43+FY43+GR43+CS43</f>
        <v>151200</v>
      </c>
      <c r="N43" s="37">
        <f t="shared" ref="N43:N44" si="180">M43/H43</f>
        <v>42000</v>
      </c>
      <c r="O43" s="37">
        <f t="shared" ref="O43:O44" si="181">BR43</f>
        <v>0</v>
      </c>
      <c r="P43" s="37">
        <f t="shared" ref="P43:P44" si="182">O43/H43</f>
        <v>0</v>
      </c>
      <c r="Q43" s="37">
        <f t="shared" ref="Q43:Q44" si="183">BD43+AJ43</f>
        <v>873000</v>
      </c>
      <c r="R43" s="37">
        <f t="shared" ref="R43:R44" si="184">Q43/H43</f>
        <v>242500</v>
      </c>
      <c r="S43" s="37">
        <f t="shared" ref="S43:S44" si="185">Q43-M43</f>
        <v>721800</v>
      </c>
      <c r="T43" s="37">
        <f t="shared" ref="T43:T44" si="186">S43/H43</f>
        <v>200500</v>
      </c>
      <c r="U43" s="38">
        <f t="shared" ref="U43:U44" si="187">Q43-O43-M43</f>
        <v>721800</v>
      </c>
      <c r="V43" s="38">
        <f t="shared" ref="V43:V44" si="188">U43/H43</f>
        <v>200500</v>
      </c>
      <c r="W43" s="95">
        <f t="shared" ref="W43:W44" si="189">40*H43</f>
        <v>144</v>
      </c>
      <c r="X43" s="95">
        <v>0.0</v>
      </c>
      <c r="Y43" s="78"/>
      <c r="Z43" s="142"/>
      <c r="AA43" s="91">
        <v>145.5</v>
      </c>
      <c r="AB43" s="92">
        <f t="shared" ref="AB43:AB44" si="190">AA43-W43</f>
        <v>1.5</v>
      </c>
      <c r="AC43" s="93">
        <f t="shared" ref="AC43:AC44" si="191">ifs(AB43&lt;0,AB43*AF43,AB43&gt;0,0,AB43="","")</f>
        <v>0</v>
      </c>
      <c r="AD43" s="94">
        <f t="shared" ref="AD43:AD44" si="192">IF(X43&lt;&gt;"", IFS(AB43&lt;0, AB43*AF43, AB43&gt;0, 0, AB43="", ""), 0)</f>
        <v>0</v>
      </c>
      <c r="AE43" s="95">
        <f t="shared" ref="AE43:AE44" si="193">AA43/H43</f>
        <v>40.41666667</v>
      </c>
      <c r="AF43" s="95">
        <v>6000.0</v>
      </c>
      <c r="AG43" s="95">
        <f t="shared" ref="AG43:AG44" si="194">(AA43*AF43)-(H43*40*6000)</f>
        <v>9000</v>
      </c>
      <c r="AH43" s="78"/>
      <c r="AI43" s="78"/>
      <c r="AJ43" s="37">
        <f t="shared" ref="AJ43:AJ44" si="195">AA43*AF43</f>
        <v>873000</v>
      </c>
      <c r="AK43" s="37">
        <f t="shared" ref="AK43:AK44" si="196">AJ43/H43</f>
        <v>242500</v>
      </c>
      <c r="AL43" s="95" t="s">
        <v>254</v>
      </c>
      <c r="AM43" s="95">
        <v>15.0</v>
      </c>
      <c r="AN43" s="95">
        <f t="shared" ref="AN43:AN44" si="197">AM43/H43</f>
        <v>4.166666667</v>
      </c>
      <c r="AO43" s="95">
        <v>0.0</v>
      </c>
      <c r="AP43" s="78"/>
      <c r="AQ43" s="78"/>
      <c r="AR43" s="78"/>
      <c r="AS43" s="78"/>
      <c r="AT43" s="78"/>
      <c r="AU43" s="78"/>
      <c r="AV43" s="78"/>
      <c r="AW43" s="78"/>
      <c r="AX43" s="78"/>
      <c r="AY43" s="78"/>
      <c r="AZ43" s="78"/>
      <c r="BA43" s="78"/>
      <c r="BB43" s="37">
        <v>0.0</v>
      </c>
      <c r="BC43" s="37">
        <v>0.0</v>
      </c>
      <c r="BD43" s="37">
        <v>0.0</v>
      </c>
      <c r="BE43" s="37">
        <v>0.0</v>
      </c>
      <c r="BF43" s="78"/>
      <c r="BG43" s="78"/>
      <c r="BH43" s="78"/>
      <c r="BI43" s="78"/>
      <c r="BJ43" s="78"/>
      <c r="BK43" s="78"/>
      <c r="BL43" s="78"/>
      <c r="BM43" s="78"/>
      <c r="BN43" s="78"/>
      <c r="BO43" s="78"/>
      <c r="BP43" s="78"/>
      <c r="BQ43" s="78"/>
      <c r="BR43" s="37">
        <v>0.0</v>
      </c>
      <c r="BS43" s="96"/>
      <c r="BT43" s="96"/>
      <c r="BU43" s="96"/>
      <c r="BV43" s="96"/>
      <c r="BW43" s="96"/>
      <c r="BX43" s="96"/>
      <c r="BY43" s="96"/>
      <c r="BZ43" s="96"/>
      <c r="CA43" s="96"/>
      <c r="CB43" s="95">
        <f t="shared" ref="CB43:CB44" si="198">CC43*H43</f>
        <v>90000</v>
      </c>
      <c r="CC43" s="95">
        <v>25000.0</v>
      </c>
      <c r="CD43" s="95">
        <f>1.5*0</f>
        <v>0</v>
      </c>
      <c r="CE43" s="78"/>
      <c r="CF43" s="95">
        <f>17000*H43</f>
        <v>61200</v>
      </c>
      <c r="CG43" s="95">
        <v>17000.0</v>
      </c>
      <c r="CH43" s="95">
        <v>0.0</v>
      </c>
      <c r="CI43" s="95">
        <v>0.0</v>
      </c>
      <c r="CJ43" s="95">
        <v>0.0</v>
      </c>
      <c r="CK43" s="95">
        <v>0.0</v>
      </c>
      <c r="CL43" s="95">
        <v>0.0</v>
      </c>
      <c r="CM43" s="95">
        <v>0.0</v>
      </c>
      <c r="CN43" s="95">
        <v>0.0</v>
      </c>
      <c r="CO43" s="78"/>
      <c r="CP43" s="78"/>
      <c r="CQ43" s="78"/>
      <c r="CR43" s="78"/>
      <c r="CS43" s="37">
        <f t="shared" ref="CS43:CS44" si="199">CB43+CD43+CF43+CH43+CI43+CK43+CL43+CM43+CN43</f>
        <v>151200</v>
      </c>
      <c r="CT43" s="95" t="s">
        <v>225</v>
      </c>
      <c r="CU43" s="95" t="s">
        <v>213</v>
      </c>
      <c r="CV43" s="95">
        <v>12.0</v>
      </c>
      <c r="CW43" s="143">
        <v>45566.0</v>
      </c>
      <c r="CX43" s="160">
        <v>45566.0</v>
      </c>
      <c r="CY43" s="161">
        <f t="shared" ref="CY43:CY44" si="200">CX43+CZ43-CV43</f>
        <v>45674</v>
      </c>
      <c r="CZ43" s="87">
        <v>120.0</v>
      </c>
      <c r="DA43" s="143">
        <v>45674.0</v>
      </c>
      <c r="DB43" s="82" t="s">
        <v>293</v>
      </c>
      <c r="DC43" s="78"/>
      <c r="DD43" s="78"/>
      <c r="DE43" s="78"/>
      <c r="DF43" s="78"/>
      <c r="DG43" s="105"/>
      <c r="DH43" s="78"/>
      <c r="DI43" s="78"/>
      <c r="DJ43" s="95" t="s">
        <v>227</v>
      </c>
      <c r="DK43" s="95">
        <v>20.0</v>
      </c>
      <c r="DL43" s="95">
        <f t="shared" ref="DL43:DL44" si="201">DK43/H43</f>
        <v>5.555555556</v>
      </c>
      <c r="DM43" s="95">
        <v>0.0</v>
      </c>
      <c r="DN43" s="95" t="s">
        <v>215</v>
      </c>
      <c r="DO43" s="95">
        <v>3000.0</v>
      </c>
      <c r="DP43" s="95">
        <v>0.0</v>
      </c>
      <c r="DQ43" s="78"/>
      <c r="DR43" s="78"/>
      <c r="DS43" s="78"/>
      <c r="DT43" s="95">
        <f>(DK43+DO43+DR43)/H43</f>
        <v>838.8888889</v>
      </c>
      <c r="DU43" s="95">
        <v>2.0</v>
      </c>
      <c r="DV43" s="95">
        <v>0.0</v>
      </c>
      <c r="DW43" s="78"/>
      <c r="DX43" s="37">
        <f t="shared" ref="DX43:DX44" si="202">DK43*DM43+DP43+DS43</f>
        <v>0</v>
      </c>
      <c r="DY43" s="37">
        <f t="shared" ref="DY43:DY44" si="203">DX43/H43</f>
        <v>0</v>
      </c>
      <c r="DZ43" s="78"/>
      <c r="EA43" s="78"/>
      <c r="EB43" s="95">
        <f t="shared" ref="EB43:EB44" si="204">EA43/H43</f>
        <v>0</v>
      </c>
      <c r="EC43" s="78"/>
      <c r="ED43" s="78"/>
      <c r="EE43" s="78"/>
      <c r="EF43" s="95">
        <f t="shared" ref="EF43:EF44" si="205">EE43/H43</f>
        <v>0</v>
      </c>
      <c r="EG43" s="78"/>
      <c r="EH43" s="78"/>
      <c r="EI43" s="78"/>
      <c r="EJ43" s="95">
        <f t="shared" ref="EJ43:EJ44" si="206">EI43/H43</f>
        <v>0</v>
      </c>
      <c r="EK43" s="78"/>
      <c r="EL43" s="78"/>
      <c r="EM43" s="78"/>
      <c r="EN43" s="78"/>
      <c r="EO43" s="78"/>
      <c r="EP43" s="78"/>
      <c r="EQ43" s="78"/>
      <c r="ER43" s="37">
        <f t="shared" ref="ER43:ER44" si="207">EC43+EG43+EK43+EN43</f>
        <v>0</v>
      </c>
      <c r="ES43" s="37">
        <f t="shared" ref="ES43:ES44" si="208">ER43/H43</f>
        <v>0</v>
      </c>
      <c r="ET43" s="95" t="s">
        <v>217</v>
      </c>
      <c r="EU43" s="95">
        <v>3.0</v>
      </c>
      <c r="EV43" s="95">
        <v>0.0</v>
      </c>
      <c r="EW43" s="95">
        <f>1500*3</f>
        <v>4500</v>
      </c>
      <c r="EX43" s="95">
        <v>3.0</v>
      </c>
      <c r="EY43" s="95">
        <v>0.0</v>
      </c>
      <c r="EZ43" s="78"/>
      <c r="FA43" s="78"/>
      <c r="FB43" s="78"/>
      <c r="FC43" s="78"/>
      <c r="FD43" s="78"/>
      <c r="FE43" s="78"/>
      <c r="FF43" s="78"/>
      <c r="FG43" s="78"/>
      <c r="FH43" s="78"/>
      <c r="FI43" s="78"/>
      <c r="FJ43" s="78"/>
      <c r="FK43" s="78"/>
      <c r="FL43" s="78"/>
      <c r="FM43" s="78"/>
      <c r="FN43" s="78"/>
      <c r="FO43" s="78"/>
      <c r="FP43" s="78"/>
      <c r="FQ43" s="78"/>
      <c r="FR43" s="78"/>
      <c r="FS43" s="78"/>
      <c r="FT43" s="78"/>
      <c r="FU43" s="78"/>
      <c r="FV43" s="78"/>
      <c r="FW43" s="78"/>
      <c r="FX43" s="78"/>
      <c r="FY43" s="37">
        <f t="shared" ref="FY43:FY44" si="209">EV43+FB43+FH43+FN43</f>
        <v>0</v>
      </c>
      <c r="FZ43" s="37">
        <f t="shared" ref="FZ43:FZ44" si="210">FY43/H43</f>
        <v>0</v>
      </c>
      <c r="GA43" s="78"/>
      <c r="GB43" s="78"/>
      <c r="GC43" s="78"/>
      <c r="GD43" s="78"/>
      <c r="GE43" s="78"/>
      <c r="GF43" s="78"/>
      <c r="GG43" s="78"/>
      <c r="GH43" s="78"/>
      <c r="GI43" s="78"/>
      <c r="GJ43" s="78"/>
      <c r="GK43" s="78"/>
      <c r="GL43" s="78"/>
      <c r="GM43" s="78"/>
      <c r="GN43" s="78"/>
      <c r="GO43" s="78"/>
      <c r="GP43" s="78"/>
      <c r="GQ43" s="78"/>
      <c r="GR43" s="98">
        <f t="shared" ref="GR43:GR44" si="211">GB43*GC43+GH43*GI43+GN43*GO43</f>
        <v>0</v>
      </c>
      <c r="GS43" s="98">
        <f t="shared" ref="GS43:GS44" si="212">GR43/H43</f>
        <v>0</v>
      </c>
      <c r="GT43" s="95" t="s">
        <v>194</v>
      </c>
      <c r="GU43" s="95" t="s">
        <v>208</v>
      </c>
      <c r="GV43" s="95" t="s">
        <v>219</v>
      </c>
      <c r="GW43" s="78"/>
      <c r="GX43" s="95" t="s">
        <v>294</v>
      </c>
      <c r="GY43" s="95" t="s">
        <v>295</v>
      </c>
      <c r="GZ43" s="78"/>
      <c r="HA43" s="78"/>
      <c r="HB43" s="78"/>
      <c r="HC43" s="78"/>
      <c r="HD43" s="78"/>
      <c r="HE43" s="78"/>
      <c r="HF43" s="162"/>
      <c r="HG43" s="95">
        <v>40.0</v>
      </c>
      <c r="HH43" s="87" t="s">
        <v>260</v>
      </c>
      <c r="HI43" s="106"/>
      <c r="HJ43" s="163" t="s">
        <v>296</v>
      </c>
      <c r="HK43" s="154">
        <v>5.0</v>
      </c>
      <c r="HL43" s="102"/>
    </row>
    <row r="44">
      <c r="A44" s="144" t="s">
        <v>202</v>
      </c>
      <c r="B44" s="132"/>
      <c r="C44" s="132"/>
      <c r="D44" s="132"/>
      <c r="E44" s="83">
        <v>19.0</v>
      </c>
      <c r="F44" s="83">
        <v>4.0</v>
      </c>
      <c r="G44" s="82" t="s">
        <v>176</v>
      </c>
      <c r="H44" s="84">
        <v>10.0</v>
      </c>
      <c r="I44" s="132"/>
      <c r="J44" s="86">
        <v>45662.0</v>
      </c>
      <c r="K44" s="95" t="s">
        <v>177</v>
      </c>
      <c r="L44" s="95" t="s">
        <v>178</v>
      </c>
      <c r="M44" s="37">
        <f t="shared" si="179"/>
        <v>279100</v>
      </c>
      <c r="N44" s="37">
        <f t="shared" si="180"/>
        <v>27910</v>
      </c>
      <c r="O44" s="37">
        <f t="shared" si="181"/>
        <v>0</v>
      </c>
      <c r="P44" s="37">
        <f t="shared" si="182"/>
        <v>0</v>
      </c>
      <c r="Q44" s="37">
        <f t="shared" si="183"/>
        <v>2319000</v>
      </c>
      <c r="R44" s="37">
        <f t="shared" si="184"/>
        <v>231900</v>
      </c>
      <c r="S44" s="37">
        <f t="shared" si="185"/>
        <v>2039900</v>
      </c>
      <c r="T44" s="37">
        <f t="shared" si="186"/>
        <v>203990</v>
      </c>
      <c r="U44" s="38">
        <f t="shared" si="187"/>
        <v>2039900</v>
      </c>
      <c r="V44" s="38">
        <f t="shared" si="188"/>
        <v>203990</v>
      </c>
      <c r="W44" s="95">
        <f t="shared" si="189"/>
        <v>400</v>
      </c>
      <c r="X44" s="95">
        <v>0.0</v>
      </c>
      <c r="Y44" s="78"/>
      <c r="Z44" s="142"/>
      <c r="AA44" s="91">
        <v>386.5</v>
      </c>
      <c r="AB44" s="104">
        <f t="shared" si="190"/>
        <v>-13.5</v>
      </c>
      <c r="AC44" s="104">
        <f t="shared" si="191"/>
        <v>-81000</v>
      </c>
      <c r="AD44" s="94">
        <f t="shared" si="192"/>
        <v>-81000</v>
      </c>
      <c r="AE44" s="94">
        <f t="shared" si="193"/>
        <v>38.65</v>
      </c>
      <c r="AF44" s="95">
        <v>6000.0</v>
      </c>
      <c r="AG44" s="95">
        <f t="shared" si="194"/>
        <v>-81000</v>
      </c>
      <c r="AH44" s="78"/>
      <c r="AI44" s="78"/>
      <c r="AJ44" s="37">
        <f t="shared" si="195"/>
        <v>2319000</v>
      </c>
      <c r="AK44" s="37">
        <f t="shared" si="196"/>
        <v>231900</v>
      </c>
      <c r="AL44" s="95" t="s">
        <v>254</v>
      </c>
      <c r="AM44" s="95">
        <v>29.0</v>
      </c>
      <c r="AN44" s="95">
        <f t="shared" si="197"/>
        <v>2.9</v>
      </c>
      <c r="AO44" s="95">
        <v>0.0</v>
      </c>
      <c r="AP44" s="78"/>
      <c r="AQ44" s="78"/>
      <c r="AR44" s="78"/>
      <c r="AS44" s="78"/>
      <c r="AT44" s="78"/>
      <c r="AU44" s="78"/>
      <c r="AV44" s="78"/>
      <c r="AW44" s="78"/>
      <c r="AX44" s="78"/>
      <c r="AY44" s="78"/>
      <c r="AZ44" s="78"/>
      <c r="BA44" s="95" t="s">
        <v>297</v>
      </c>
      <c r="BB44" s="37">
        <v>0.0</v>
      </c>
      <c r="BC44" s="37">
        <v>0.0</v>
      </c>
      <c r="BD44" s="37">
        <v>0.0</v>
      </c>
      <c r="BE44" s="37">
        <v>0.0</v>
      </c>
      <c r="BF44" s="78"/>
      <c r="BG44" s="78"/>
      <c r="BH44" s="78"/>
      <c r="BI44" s="78"/>
      <c r="BJ44" s="78"/>
      <c r="BK44" s="78"/>
      <c r="BL44" s="78"/>
      <c r="BM44" s="78"/>
      <c r="BN44" s="78"/>
      <c r="BO44" s="78"/>
      <c r="BP44" s="78"/>
      <c r="BQ44" s="78"/>
      <c r="BR44" s="37">
        <v>0.0</v>
      </c>
      <c r="BS44" s="96"/>
      <c r="BT44" s="96"/>
      <c r="BU44" s="96"/>
      <c r="BV44" s="96"/>
      <c r="BW44" s="96"/>
      <c r="BX44" s="96"/>
      <c r="BY44" s="96"/>
      <c r="BZ44" s="96"/>
      <c r="CA44" s="96"/>
      <c r="CB44" s="95">
        <f t="shared" si="198"/>
        <v>250000</v>
      </c>
      <c r="CC44" s="95">
        <v>25000.0</v>
      </c>
      <c r="CD44" s="95">
        <f>2.7*5000</f>
        <v>13500</v>
      </c>
      <c r="CE44" s="95">
        <f>CD44/H44</f>
        <v>1350</v>
      </c>
      <c r="CF44" s="95">
        <f>CG44/H44</f>
        <v>1800</v>
      </c>
      <c r="CG44" s="95">
        <v>18000.0</v>
      </c>
      <c r="CH44" s="95">
        <v>13800.0</v>
      </c>
      <c r="CI44" s="95">
        <v>0.0</v>
      </c>
      <c r="CJ44" s="95">
        <v>0.0</v>
      </c>
      <c r="CK44" s="95">
        <v>0.0</v>
      </c>
      <c r="CL44" s="95">
        <v>0.0</v>
      </c>
      <c r="CM44" s="95">
        <v>0.0</v>
      </c>
      <c r="CN44" s="95">
        <v>0.0</v>
      </c>
      <c r="CO44" s="78"/>
      <c r="CP44" s="78"/>
      <c r="CQ44" s="78"/>
      <c r="CR44" s="78"/>
      <c r="CS44" s="37">
        <f t="shared" si="199"/>
        <v>279100</v>
      </c>
      <c r="CT44" s="95" t="s">
        <v>281</v>
      </c>
      <c r="CU44" s="95" t="s">
        <v>241</v>
      </c>
      <c r="CV44" s="95">
        <v>22.0</v>
      </c>
      <c r="CW44" s="143">
        <v>45563.0</v>
      </c>
      <c r="CX44" s="160">
        <v>45563.0</v>
      </c>
      <c r="CY44" s="161">
        <f t="shared" si="200"/>
        <v>45675</v>
      </c>
      <c r="CZ44" s="87">
        <v>134.0</v>
      </c>
      <c r="DA44" s="143">
        <v>45675.0</v>
      </c>
      <c r="DB44" s="82" t="s">
        <v>293</v>
      </c>
      <c r="DC44" s="78"/>
      <c r="DD44" s="78"/>
      <c r="DE44" s="78"/>
      <c r="DF44" s="78"/>
      <c r="DG44" s="105"/>
      <c r="DH44" s="78"/>
      <c r="DI44" s="78"/>
      <c r="DJ44" s="95" t="s">
        <v>227</v>
      </c>
      <c r="DK44" s="95">
        <v>171.7</v>
      </c>
      <c r="DL44" s="95">
        <f t="shared" si="201"/>
        <v>17.17</v>
      </c>
      <c r="DM44" s="95">
        <v>0.0</v>
      </c>
      <c r="DN44" s="78"/>
      <c r="DO44" s="78"/>
      <c r="DP44" s="78"/>
      <c r="DQ44" s="78"/>
      <c r="DR44" s="78"/>
      <c r="DS44" s="78"/>
      <c r="DT44" s="78"/>
      <c r="DU44" s="95">
        <v>1.0</v>
      </c>
      <c r="DV44" s="95">
        <v>0.0</v>
      </c>
      <c r="DW44" s="78"/>
      <c r="DX44" s="37">
        <f t="shared" si="202"/>
        <v>0</v>
      </c>
      <c r="DY44" s="37">
        <f t="shared" si="203"/>
        <v>0</v>
      </c>
      <c r="DZ44" s="78"/>
      <c r="EA44" s="78"/>
      <c r="EB44" s="95">
        <f t="shared" si="204"/>
        <v>0</v>
      </c>
      <c r="EC44" s="78"/>
      <c r="ED44" s="78"/>
      <c r="EE44" s="78"/>
      <c r="EF44" s="95">
        <f t="shared" si="205"/>
        <v>0</v>
      </c>
      <c r="EG44" s="78"/>
      <c r="EH44" s="78"/>
      <c r="EI44" s="78"/>
      <c r="EJ44" s="95">
        <f t="shared" si="206"/>
        <v>0</v>
      </c>
      <c r="EK44" s="78"/>
      <c r="EL44" s="78"/>
      <c r="EM44" s="78"/>
      <c r="EN44" s="78"/>
      <c r="EO44" s="78"/>
      <c r="EP44" s="78"/>
      <c r="EQ44" s="78"/>
      <c r="ER44" s="37">
        <f t="shared" si="207"/>
        <v>0</v>
      </c>
      <c r="ES44" s="37">
        <f t="shared" si="208"/>
        <v>0</v>
      </c>
      <c r="ET44" s="164"/>
      <c r="EU44" s="78"/>
      <c r="EV44" s="78"/>
      <c r="EW44" s="78"/>
      <c r="EX44" s="78"/>
      <c r="EY44" s="78"/>
      <c r="EZ44" s="78"/>
      <c r="FA44" s="78"/>
      <c r="FB44" s="78"/>
      <c r="FC44" s="78"/>
      <c r="FD44" s="78"/>
      <c r="FE44" s="78"/>
      <c r="FF44" s="78"/>
      <c r="FG44" s="78"/>
      <c r="FH44" s="78"/>
      <c r="FI44" s="78"/>
      <c r="FJ44" s="78"/>
      <c r="FK44" s="78"/>
      <c r="FL44" s="78"/>
      <c r="FM44" s="78"/>
      <c r="FN44" s="78"/>
      <c r="FO44" s="78"/>
      <c r="FP44" s="78"/>
      <c r="FQ44" s="78"/>
      <c r="FR44" s="78"/>
      <c r="FS44" s="78"/>
      <c r="FT44" s="78"/>
      <c r="FU44" s="78"/>
      <c r="FV44" s="78"/>
      <c r="FW44" s="78"/>
      <c r="FX44" s="78"/>
      <c r="FY44" s="37">
        <f t="shared" si="209"/>
        <v>0</v>
      </c>
      <c r="FZ44" s="37">
        <f t="shared" si="210"/>
        <v>0</v>
      </c>
      <c r="GA44" s="78"/>
      <c r="GB44" s="78"/>
      <c r="GC44" s="78"/>
      <c r="GD44" s="78"/>
      <c r="GE44" s="78"/>
      <c r="GF44" s="78"/>
      <c r="GG44" s="78"/>
      <c r="GH44" s="78"/>
      <c r="GI44" s="78"/>
      <c r="GJ44" s="78"/>
      <c r="GK44" s="78"/>
      <c r="GL44" s="78"/>
      <c r="GM44" s="78"/>
      <c r="GN44" s="78"/>
      <c r="GO44" s="78"/>
      <c r="GP44" s="78"/>
      <c r="GQ44" s="78"/>
      <c r="GR44" s="98">
        <f t="shared" si="211"/>
        <v>0</v>
      </c>
      <c r="GS44" s="98">
        <f t="shared" si="212"/>
        <v>0</v>
      </c>
      <c r="GT44" s="78"/>
      <c r="GU44" s="95" t="s">
        <v>208</v>
      </c>
      <c r="GV44" s="78"/>
      <c r="GW44" s="78"/>
      <c r="GX44" s="78"/>
      <c r="GY44" s="78"/>
      <c r="GZ44" s="78"/>
      <c r="HA44" s="78"/>
      <c r="HB44" s="78"/>
      <c r="HC44" s="78"/>
      <c r="HD44" s="78"/>
      <c r="HE44" s="78"/>
      <c r="HF44" s="162"/>
      <c r="HG44" s="95">
        <v>40.0</v>
      </c>
      <c r="HH44" s="87" t="s">
        <v>260</v>
      </c>
      <c r="HI44" s="106"/>
      <c r="HJ44" s="163" t="s">
        <v>296</v>
      </c>
      <c r="HK44" s="101"/>
      <c r="HL44" s="102"/>
    </row>
    <row r="45">
      <c r="A45" s="113" t="s">
        <v>298</v>
      </c>
    </row>
    <row r="46">
      <c r="A46" s="165" t="s">
        <v>299</v>
      </c>
      <c r="B46" s="166"/>
      <c r="C46" s="166"/>
      <c r="D46" s="166"/>
      <c r="E46" s="83">
        <v>42.0</v>
      </c>
      <c r="F46" s="83">
        <v>2.0</v>
      </c>
      <c r="G46" s="82" t="s">
        <v>176</v>
      </c>
      <c r="H46" s="111">
        <v>4.5</v>
      </c>
      <c r="I46" s="132"/>
      <c r="J46" s="86">
        <v>45810.0</v>
      </c>
      <c r="K46" s="95" t="s">
        <v>300</v>
      </c>
      <c r="L46" s="95" t="s">
        <v>301</v>
      </c>
      <c r="M46" s="37">
        <f t="shared" ref="M46:M49" si="214">BB46+BZ46+DX46+ER46+FY46+GR46+CS46</f>
        <v>968020</v>
      </c>
      <c r="N46" s="37">
        <f t="shared" ref="N46:N49" si="215">M46/H46</f>
        <v>215115.5556</v>
      </c>
      <c r="O46" s="37">
        <f t="shared" ref="O46:O49" si="216">BR46</f>
        <v>58333.33333</v>
      </c>
      <c r="P46" s="37">
        <f t="shared" ref="P46:P49" si="217">O46/H46</f>
        <v>12962.96296</v>
      </c>
      <c r="Q46" s="37">
        <f t="shared" ref="Q46:Q49" si="218">BD46+AJ46+CA46</f>
        <v>2103000</v>
      </c>
      <c r="R46" s="37">
        <f t="shared" ref="R46:R49" si="219">Q46/H46</f>
        <v>467333.3333</v>
      </c>
      <c r="S46" s="37">
        <f t="shared" ref="S46:S49" si="220">Q46-M46</f>
        <v>1134980</v>
      </c>
      <c r="T46" s="37">
        <f t="shared" ref="T46:T49" si="221">S46/H46</f>
        <v>252217.7778</v>
      </c>
      <c r="U46" s="38">
        <f t="shared" ref="U46:U49" si="222">Q46-O46-M46</f>
        <v>1076646.667</v>
      </c>
      <c r="V46" s="38">
        <f t="shared" ref="V46:V49" si="223">U46/H46</f>
        <v>239254.8148</v>
      </c>
      <c r="W46" s="95">
        <f t="shared" ref="W46:W49" si="224">40*H46</f>
        <v>180</v>
      </c>
      <c r="X46" s="78"/>
      <c r="Y46" s="78"/>
      <c r="Z46" s="78"/>
      <c r="AA46" s="91">
        <v>283.0</v>
      </c>
      <c r="AB46" s="92">
        <f t="shared" ref="AB46:AB49" si="225">AA46-W46</f>
        <v>103</v>
      </c>
      <c r="AC46" s="93">
        <v>0.0</v>
      </c>
      <c r="AD46" s="94">
        <f t="shared" ref="AD46:AD49" si="226">IF(X46&lt;&gt;"", IFS(AB46&lt;0, AB46*AF46, AB46&gt;0, 0, AB46="", ""), 0)</f>
        <v>0</v>
      </c>
      <c r="AE46" s="159">
        <f t="shared" ref="AE46:AE49" si="227">AA46/H46</f>
        <v>62.88888889</v>
      </c>
      <c r="AF46" s="95">
        <v>6000.0</v>
      </c>
      <c r="AG46" s="95">
        <f t="shared" ref="AG46:AG49" si="228">(AA46*AF46)-(H46*40*6000)</f>
        <v>618000</v>
      </c>
      <c r="AH46" s="167"/>
      <c r="AI46" s="78"/>
      <c r="AJ46" s="129">
        <f t="shared" ref="AJ46:AJ49" si="229">AA46*AF46</f>
        <v>1698000</v>
      </c>
      <c r="AK46" s="37">
        <f t="shared" ref="AK46:AK49" si="230">AJ46/H46</f>
        <v>377333.3333</v>
      </c>
      <c r="AL46" s="95" t="s">
        <v>254</v>
      </c>
      <c r="AM46" s="95">
        <v>9.0</v>
      </c>
      <c r="AN46" s="95">
        <f t="shared" ref="AN46:AN49" si="231">AM46/H46</f>
        <v>2</v>
      </c>
      <c r="AO46" s="95">
        <v>25000.0</v>
      </c>
      <c r="AP46" s="95">
        <v>7.0</v>
      </c>
      <c r="AQ46" s="95">
        <v>50000.0</v>
      </c>
      <c r="AR46" s="95">
        <v>35000.0</v>
      </c>
      <c r="AS46" s="78"/>
      <c r="AT46" s="78"/>
      <c r="AU46" s="78"/>
      <c r="AV46" s="78"/>
      <c r="AW46" s="78"/>
      <c r="AX46" s="78"/>
      <c r="AY46" s="78"/>
      <c r="AZ46" s="78"/>
      <c r="BA46" s="78"/>
      <c r="BB46" s="37">
        <f t="shared" ref="BB46:BB49" si="232">AM46*AO46+AR46+(AU46*AV46+AY46)</f>
        <v>260000</v>
      </c>
      <c r="BC46" s="37">
        <f t="shared" ref="BC46:BC49" si="233">BB46/H46</f>
        <v>57777.77778</v>
      </c>
      <c r="BD46" s="37">
        <f t="shared" ref="BD46:BD49" si="234">(AP46*AQ46)+AS46+(AW46*AX46)+AZ46</f>
        <v>350000</v>
      </c>
      <c r="BE46" s="37">
        <f t="shared" ref="BE46:BE49" si="235">BD46/H46</f>
        <v>77777.77778</v>
      </c>
      <c r="BF46" s="95" t="s">
        <v>190</v>
      </c>
      <c r="BG46" s="95">
        <v>2.0</v>
      </c>
      <c r="BH46" s="95">
        <f t="shared" ref="BH46:BH49" si="236">550000/6</f>
        <v>91666.66667</v>
      </c>
      <c r="BI46" s="95" t="s">
        <v>302</v>
      </c>
      <c r="BJ46" s="95">
        <v>1.0</v>
      </c>
      <c r="BK46" s="95">
        <f t="shared" ref="BK46:BK49" si="237">650000/6</f>
        <v>108333.3333</v>
      </c>
      <c r="BL46" s="78"/>
      <c r="BM46" s="78"/>
      <c r="BN46" s="78"/>
      <c r="BO46" s="78"/>
      <c r="BP46" s="78"/>
      <c r="BQ46" s="78"/>
      <c r="BR46" s="37">
        <f t="shared" ref="BR46:BR49" si="238">(BG46*BH46+BJ46*BK46+BM46*BN46+BP46*BQ46)/5</f>
        <v>58333.33333</v>
      </c>
      <c r="BS46" s="87" t="s">
        <v>219</v>
      </c>
      <c r="BT46" s="98">
        <v>5000.0</v>
      </c>
      <c r="BU46" s="98">
        <f>25000+30000</f>
        <v>55000</v>
      </c>
      <c r="BV46" s="98" t="s">
        <v>208</v>
      </c>
      <c r="BW46" s="98">
        <v>1000.0</v>
      </c>
      <c r="BX46" s="98">
        <v>0.0</v>
      </c>
      <c r="BY46" s="98" t="s">
        <v>303</v>
      </c>
      <c r="BZ46" s="37">
        <f t="shared" ref="BZ46:CA46" si="213">BT46+BW46</f>
        <v>6000</v>
      </c>
      <c r="CA46" s="37">
        <f t="shared" si="213"/>
        <v>55000</v>
      </c>
      <c r="CB46" s="95">
        <f t="shared" ref="CB46:CB49" si="240">CC46*H46</f>
        <v>112500</v>
      </c>
      <c r="CC46" s="95">
        <v>25000.0</v>
      </c>
      <c r="CD46" s="95">
        <v>39600.0</v>
      </c>
      <c r="CE46" s="95">
        <f t="shared" ref="CE46:CE49" si="241">CD46/H46</f>
        <v>8800</v>
      </c>
      <c r="CF46" s="87">
        <f>CG46*H46</f>
        <v>90000</v>
      </c>
      <c r="CG46" s="95">
        <v>20000.0</v>
      </c>
      <c r="CH46" s="95">
        <v>10000.0</v>
      </c>
      <c r="CI46" s="95">
        <v>0.0</v>
      </c>
      <c r="CJ46" s="95">
        <v>0.0</v>
      </c>
      <c r="CK46" s="95">
        <v>0.0</v>
      </c>
      <c r="CL46" s="95">
        <v>0.0</v>
      </c>
      <c r="CM46" s="95">
        <v>0.0</v>
      </c>
      <c r="CN46" s="95">
        <v>0.0</v>
      </c>
      <c r="CO46" s="95">
        <v>1300.0</v>
      </c>
      <c r="CP46" s="87">
        <f t="shared" ref="CP46:CP49" si="242">CO46*AA46</f>
        <v>367900</v>
      </c>
      <c r="CQ46" s="87">
        <f t="shared" ref="CQ46:CQ49" si="243">CP46/H46</f>
        <v>81755.55556</v>
      </c>
      <c r="CR46" s="78"/>
      <c r="CS46" s="37">
        <f t="shared" ref="CS46:CS49" si="244">CB46+CD46+CF46+CH46+CI46+CK46+CL46+CM46+CN46</f>
        <v>252100</v>
      </c>
      <c r="CT46" s="95" t="s">
        <v>225</v>
      </c>
      <c r="CU46" s="95" t="s">
        <v>213</v>
      </c>
      <c r="CV46" s="95">
        <v>17.0</v>
      </c>
      <c r="CW46" s="78"/>
      <c r="CX46" s="78"/>
      <c r="CY46" s="78"/>
      <c r="CZ46" s="78"/>
      <c r="DA46" s="167"/>
      <c r="DB46" s="78"/>
      <c r="DC46" s="78"/>
      <c r="DD46" s="78"/>
      <c r="DE46" s="78"/>
      <c r="DF46" s="78"/>
      <c r="DG46" s="167"/>
      <c r="DH46" s="78"/>
      <c r="DI46" s="78"/>
      <c r="DJ46" s="95" t="s">
        <v>227</v>
      </c>
      <c r="DK46" s="95">
        <v>180.0</v>
      </c>
      <c r="DL46" s="95">
        <f t="shared" ref="DL46:DL49" si="245">DK46/H46</f>
        <v>40</v>
      </c>
      <c r="DM46" s="95">
        <v>1944.0</v>
      </c>
      <c r="DN46" s="95" t="s">
        <v>215</v>
      </c>
      <c r="DO46" s="95">
        <f>1.5*3</f>
        <v>4.5</v>
      </c>
      <c r="DP46" s="95">
        <v>0.0</v>
      </c>
      <c r="DQ46" s="95" t="s">
        <v>304</v>
      </c>
      <c r="DR46" s="95">
        <f>1.5*4</f>
        <v>6</v>
      </c>
      <c r="DS46" s="95">
        <v>0.0</v>
      </c>
      <c r="DT46" s="78"/>
      <c r="DU46" s="95">
        <v>4.0</v>
      </c>
      <c r="DV46" s="95">
        <v>4.0</v>
      </c>
      <c r="DW46" s="95" t="s">
        <v>305</v>
      </c>
      <c r="DX46" s="37">
        <f t="shared" ref="DX46:DX49" si="246">DK46*DM46+DP46*DO46+DS46*DR46</f>
        <v>349920</v>
      </c>
      <c r="DY46" s="37">
        <f t="shared" ref="DY46:DY49" si="247">DX46/H46</f>
        <v>77760</v>
      </c>
      <c r="DZ46" s="95" t="s">
        <v>306</v>
      </c>
      <c r="EA46" s="95">
        <v>5.0</v>
      </c>
      <c r="EB46" s="95">
        <f t="shared" ref="EB46:EB49" si="248">EA46/H46</f>
        <v>1.111111111</v>
      </c>
      <c r="EC46" s="95">
        <v>100000.0</v>
      </c>
      <c r="ED46" s="78"/>
      <c r="EE46" s="78"/>
      <c r="EF46" s="95">
        <f t="shared" ref="EF46:EF49" si="249">EE46/H46</f>
        <v>0</v>
      </c>
      <c r="EG46" s="78"/>
      <c r="EH46" s="78"/>
      <c r="EI46" s="78"/>
      <c r="EJ46" s="95">
        <f t="shared" ref="EJ46:EJ49" si="250">EI46/H46</f>
        <v>0</v>
      </c>
      <c r="EK46" s="78"/>
      <c r="EL46" s="78"/>
      <c r="EM46" s="78"/>
      <c r="EN46" s="78"/>
      <c r="EO46" s="95">
        <v>1.0</v>
      </c>
      <c r="EP46" s="95">
        <v>0.0</v>
      </c>
      <c r="EQ46" s="78"/>
      <c r="ER46" s="168">
        <f t="shared" ref="ER46:ER49" si="251">EC46+EG46+EK46+EN46</f>
        <v>100000</v>
      </c>
      <c r="ES46" s="168">
        <f t="shared" ref="ES46:ES49" si="252">ER46/H46</f>
        <v>22222.22222</v>
      </c>
      <c r="ET46" s="95" t="s">
        <v>217</v>
      </c>
      <c r="EU46" s="95">
        <v>7.0</v>
      </c>
      <c r="EV46" s="95">
        <v>0.0</v>
      </c>
      <c r="EW46" s="95">
        <f>1.5*7</f>
        <v>10.5</v>
      </c>
      <c r="EX46" s="95">
        <v>4.0</v>
      </c>
      <c r="EY46" s="95">
        <v>3.0</v>
      </c>
      <c r="EZ46" s="78"/>
      <c r="FA46" s="78"/>
      <c r="FB46" s="78"/>
      <c r="FC46" s="78"/>
      <c r="FD46" s="78"/>
      <c r="FE46" s="78"/>
      <c r="FF46" s="78"/>
      <c r="FG46" s="78"/>
      <c r="FH46" s="78"/>
      <c r="FI46" s="78"/>
      <c r="FJ46" s="78"/>
      <c r="FK46" s="78"/>
      <c r="FL46" s="78"/>
      <c r="FM46" s="78"/>
      <c r="FN46" s="78"/>
      <c r="FO46" s="78"/>
      <c r="FP46" s="78"/>
      <c r="FQ46" s="78"/>
      <c r="FR46" s="78"/>
      <c r="FS46" s="78"/>
      <c r="FT46" s="78"/>
      <c r="FU46" s="78"/>
      <c r="FV46" s="78"/>
      <c r="FW46" s="78"/>
      <c r="FX46" s="78"/>
      <c r="FY46" s="37">
        <f t="shared" ref="FY46:FY49" si="253">EV46+FB46+FH46+FN46+FT46</f>
        <v>0</v>
      </c>
      <c r="FZ46" s="37">
        <f t="shared" ref="FZ46:FZ49" si="254">FY46/H46</f>
        <v>0</v>
      </c>
      <c r="GA46" s="78"/>
      <c r="GB46" s="78"/>
      <c r="GC46" s="78"/>
      <c r="GD46" s="78"/>
      <c r="GE46" s="78"/>
      <c r="GF46" s="78"/>
      <c r="GG46" s="78"/>
      <c r="GH46" s="78"/>
      <c r="GI46" s="78"/>
      <c r="GJ46" s="78"/>
      <c r="GK46" s="78"/>
      <c r="GL46" s="78"/>
      <c r="GM46" s="78"/>
      <c r="GN46" s="78"/>
      <c r="GO46" s="78"/>
      <c r="GP46" s="78"/>
      <c r="GQ46" s="78"/>
      <c r="GR46" s="98">
        <f t="shared" ref="GR46:GR49" si="255">GB46*GC46+GH46*GI46+GN46*GO46</f>
        <v>0</v>
      </c>
      <c r="GS46" s="98">
        <f t="shared" ref="GS46:GS49" si="256">GR46/H46</f>
        <v>0</v>
      </c>
      <c r="GT46" s="95" t="s">
        <v>194</v>
      </c>
      <c r="GU46" s="95" t="s">
        <v>208</v>
      </c>
      <c r="GV46" s="95" t="s">
        <v>219</v>
      </c>
      <c r="GW46" s="78"/>
      <c r="GX46" s="95" t="s">
        <v>294</v>
      </c>
      <c r="GY46" s="95" t="s">
        <v>295</v>
      </c>
      <c r="GZ46" s="78"/>
      <c r="HA46" s="78"/>
      <c r="HB46" s="78"/>
      <c r="HC46" s="78"/>
      <c r="HD46" s="78"/>
      <c r="HE46" s="78"/>
      <c r="HF46" s="78"/>
      <c r="HG46" s="169">
        <v>40.0</v>
      </c>
      <c r="HH46" s="169" t="s">
        <v>260</v>
      </c>
      <c r="HI46" s="106"/>
      <c r="HJ46" s="163" t="s">
        <v>296</v>
      </c>
      <c r="HK46" s="154">
        <v>8.0</v>
      </c>
      <c r="HL46" s="170" t="s">
        <v>307</v>
      </c>
    </row>
    <row r="47">
      <c r="A47" s="165" t="s">
        <v>308</v>
      </c>
      <c r="B47" s="126"/>
      <c r="C47" s="126"/>
      <c r="D47" s="126"/>
      <c r="E47" s="83">
        <v>42.0</v>
      </c>
      <c r="F47" s="83">
        <v>2.0</v>
      </c>
      <c r="G47" s="82" t="s">
        <v>176</v>
      </c>
      <c r="H47" s="111">
        <v>3.0</v>
      </c>
      <c r="I47" s="132"/>
      <c r="J47" s="86">
        <v>45839.0</v>
      </c>
      <c r="K47" s="95" t="s">
        <v>300</v>
      </c>
      <c r="L47" s="95" t="s">
        <v>301</v>
      </c>
      <c r="M47" s="37">
        <f t="shared" si="214"/>
        <v>615860</v>
      </c>
      <c r="N47" s="37">
        <f t="shared" si="215"/>
        <v>205286.6667</v>
      </c>
      <c r="O47" s="37">
        <f t="shared" si="216"/>
        <v>58333.33333</v>
      </c>
      <c r="P47" s="37">
        <f t="shared" si="217"/>
        <v>19444.44444</v>
      </c>
      <c r="Q47" s="37">
        <f t="shared" si="218"/>
        <v>243000</v>
      </c>
      <c r="R47" s="37">
        <f t="shared" si="219"/>
        <v>81000</v>
      </c>
      <c r="S47" s="37">
        <f t="shared" si="220"/>
        <v>-372860</v>
      </c>
      <c r="T47" s="37">
        <f t="shared" si="221"/>
        <v>-124286.6667</v>
      </c>
      <c r="U47" s="44">
        <f t="shared" si="222"/>
        <v>-431193.3333</v>
      </c>
      <c r="V47" s="44">
        <f t="shared" si="223"/>
        <v>-143731.1111</v>
      </c>
      <c r="W47" s="95">
        <f t="shared" si="224"/>
        <v>120</v>
      </c>
      <c r="X47" s="78"/>
      <c r="Y47" s="78"/>
      <c r="Z47" s="78"/>
      <c r="AA47" s="91">
        <v>40.5</v>
      </c>
      <c r="AB47" s="104">
        <f t="shared" si="225"/>
        <v>-79.5</v>
      </c>
      <c r="AC47" s="93">
        <v>0.0</v>
      </c>
      <c r="AD47" s="94">
        <f t="shared" si="226"/>
        <v>0</v>
      </c>
      <c r="AE47" s="171">
        <f t="shared" si="227"/>
        <v>13.5</v>
      </c>
      <c r="AF47" s="95">
        <v>6000.0</v>
      </c>
      <c r="AG47" s="95">
        <f t="shared" si="228"/>
        <v>-477000</v>
      </c>
      <c r="AH47" s="167"/>
      <c r="AI47" s="78"/>
      <c r="AJ47" s="129">
        <f t="shared" si="229"/>
        <v>243000</v>
      </c>
      <c r="AK47" s="37">
        <f t="shared" si="230"/>
        <v>81000</v>
      </c>
      <c r="AL47" s="95" t="s">
        <v>254</v>
      </c>
      <c r="AM47" s="95">
        <v>6.0</v>
      </c>
      <c r="AN47" s="95">
        <f t="shared" si="231"/>
        <v>2</v>
      </c>
      <c r="AO47" s="95">
        <v>25000.0</v>
      </c>
      <c r="AP47" s="78"/>
      <c r="AQ47" s="78"/>
      <c r="AR47" s="95">
        <v>17500.0</v>
      </c>
      <c r="AS47" s="78"/>
      <c r="AT47" s="78"/>
      <c r="AU47" s="78"/>
      <c r="AV47" s="78"/>
      <c r="AW47" s="78"/>
      <c r="AX47" s="78"/>
      <c r="AY47" s="78"/>
      <c r="AZ47" s="78"/>
      <c r="BA47" s="78"/>
      <c r="BB47" s="37">
        <f t="shared" si="232"/>
        <v>167500</v>
      </c>
      <c r="BC47" s="37">
        <f t="shared" si="233"/>
        <v>55833.33333</v>
      </c>
      <c r="BD47" s="37">
        <f t="shared" si="234"/>
        <v>0</v>
      </c>
      <c r="BE47" s="37">
        <f t="shared" si="235"/>
        <v>0</v>
      </c>
      <c r="BF47" s="95" t="s">
        <v>190</v>
      </c>
      <c r="BG47" s="95">
        <v>2.0</v>
      </c>
      <c r="BH47" s="95">
        <f t="shared" si="236"/>
        <v>91666.66667</v>
      </c>
      <c r="BI47" s="95" t="s">
        <v>302</v>
      </c>
      <c r="BJ47" s="95">
        <v>1.0</v>
      </c>
      <c r="BK47" s="95">
        <f t="shared" si="237"/>
        <v>108333.3333</v>
      </c>
      <c r="BL47" s="78"/>
      <c r="BM47" s="78"/>
      <c r="BN47" s="78"/>
      <c r="BO47" s="78"/>
      <c r="BP47" s="78"/>
      <c r="BQ47" s="78"/>
      <c r="BR47" s="37">
        <f t="shared" si="238"/>
        <v>58333.33333</v>
      </c>
      <c r="BS47" s="90"/>
      <c r="BT47" s="90"/>
      <c r="BU47" s="90"/>
      <c r="BV47" s="90"/>
      <c r="BW47" s="90"/>
      <c r="BX47" s="90"/>
      <c r="BY47" s="90"/>
      <c r="BZ47" s="37">
        <f t="shared" ref="BZ47:CA47" si="239">BT47+BW47</f>
        <v>0</v>
      </c>
      <c r="CA47" s="37">
        <f t="shared" si="239"/>
        <v>0</v>
      </c>
      <c r="CB47" s="95">
        <f t="shared" si="240"/>
        <v>75000</v>
      </c>
      <c r="CC47" s="95">
        <v>25000.0</v>
      </c>
      <c r="CD47" s="95">
        <v>26400.0</v>
      </c>
      <c r="CE47" s="95">
        <f t="shared" si="241"/>
        <v>8800</v>
      </c>
      <c r="CF47" s="87">
        <f t="shared" ref="CF47:CF48" si="258">(20000*H47)+(10000*H47)</f>
        <v>90000</v>
      </c>
      <c r="CG47" s="95">
        <f t="shared" ref="CG47:CG48" si="259">CF47/H47</f>
        <v>30000</v>
      </c>
      <c r="CH47" s="95">
        <v>7000.0</v>
      </c>
      <c r="CI47" s="95">
        <v>0.0</v>
      </c>
      <c r="CJ47" s="95">
        <v>0.0</v>
      </c>
      <c r="CK47" s="95">
        <v>0.0</v>
      </c>
      <c r="CL47" s="95">
        <v>0.0</v>
      </c>
      <c r="CM47" s="95">
        <v>0.0</v>
      </c>
      <c r="CN47" s="95">
        <v>0.0</v>
      </c>
      <c r="CO47" s="95">
        <v>1300.0</v>
      </c>
      <c r="CP47" s="87">
        <f t="shared" si="242"/>
        <v>52650</v>
      </c>
      <c r="CQ47" s="87">
        <f t="shared" si="243"/>
        <v>17550</v>
      </c>
      <c r="CR47" s="78"/>
      <c r="CS47" s="37">
        <f t="shared" si="244"/>
        <v>198400</v>
      </c>
      <c r="CT47" s="95" t="s">
        <v>225</v>
      </c>
      <c r="CU47" s="95" t="s">
        <v>213</v>
      </c>
      <c r="CV47" s="95">
        <v>21.0</v>
      </c>
      <c r="CW47" s="78"/>
      <c r="CX47" s="78"/>
      <c r="CY47" s="78"/>
      <c r="CZ47" s="78"/>
      <c r="DA47" s="167"/>
      <c r="DB47" s="78"/>
      <c r="DC47" s="78"/>
      <c r="DD47" s="78"/>
      <c r="DE47" s="78"/>
      <c r="DF47" s="78"/>
      <c r="DG47" s="167"/>
      <c r="DH47" s="78"/>
      <c r="DI47" s="78"/>
      <c r="DJ47" s="95" t="s">
        <v>227</v>
      </c>
      <c r="DK47" s="95">
        <v>120.0</v>
      </c>
      <c r="DL47" s="95">
        <f t="shared" si="245"/>
        <v>40</v>
      </c>
      <c r="DM47" s="95">
        <v>2083.0</v>
      </c>
      <c r="DN47" s="95" t="s">
        <v>215</v>
      </c>
      <c r="DO47" s="87">
        <v>0.0</v>
      </c>
      <c r="DP47" s="95">
        <v>0.0</v>
      </c>
      <c r="DQ47" s="78"/>
      <c r="DR47" s="78"/>
      <c r="DS47" s="78"/>
      <c r="DT47" s="78"/>
      <c r="DU47" s="95">
        <v>1.0</v>
      </c>
      <c r="DV47" s="95">
        <v>0.0</v>
      </c>
      <c r="DW47" s="78"/>
      <c r="DX47" s="37">
        <f t="shared" si="246"/>
        <v>249960</v>
      </c>
      <c r="DY47" s="37">
        <f t="shared" si="247"/>
        <v>83320</v>
      </c>
      <c r="DZ47" s="78"/>
      <c r="EA47" s="78"/>
      <c r="EB47" s="95">
        <f t="shared" si="248"/>
        <v>0</v>
      </c>
      <c r="EC47" s="78"/>
      <c r="ED47" s="78"/>
      <c r="EE47" s="78"/>
      <c r="EF47" s="95">
        <f t="shared" si="249"/>
        <v>0</v>
      </c>
      <c r="EG47" s="78"/>
      <c r="EH47" s="78"/>
      <c r="EI47" s="78"/>
      <c r="EJ47" s="95">
        <f t="shared" si="250"/>
        <v>0</v>
      </c>
      <c r="EK47" s="78"/>
      <c r="EL47" s="78"/>
      <c r="EM47" s="78"/>
      <c r="EN47" s="78"/>
      <c r="EO47" s="78"/>
      <c r="EP47" s="78"/>
      <c r="EQ47" s="78"/>
      <c r="ER47" s="168">
        <f t="shared" si="251"/>
        <v>0</v>
      </c>
      <c r="ES47" s="168">
        <f t="shared" si="252"/>
        <v>0</v>
      </c>
      <c r="ET47" s="95" t="s">
        <v>217</v>
      </c>
      <c r="EU47" s="95">
        <v>0.0</v>
      </c>
      <c r="EV47" s="95">
        <v>0.0</v>
      </c>
      <c r="EW47" s="78"/>
      <c r="EX47" s="78"/>
      <c r="EY47" s="78"/>
      <c r="EZ47" s="78"/>
      <c r="FA47" s="78"/>
      <c r="FB47" s="78"/>
      <c r="FC47" s="78"/>
      <c r="FD47" s="78"/>
      <c r="FE47" s="78"/>
      <c r="FF47" s="78"/>
      <c r="FG47" s="78"/>
      <c r="FH47" s="78"/>
      <c r="FI47" s="78"/>
      <c r="FJ47" s="78"/>
      <c r="FK47" s="78"/>
      <c r="FL47" s="78"/>
      <c r="FM47" s="78"/>
      <c r="FN47" s="78"/>
      <c r="FO47" s="78"/>
      <c r="FP47" s="78"/>
      <c r="FQ47" s="78"/>
      <c r="FR47" s="78"/>
      <c r="FS47" s="78"/>
      <c r="FT47" s="78"/>
      <c r="FU47" s="78"/>
      <c r="FV47" s="78"/>
      <c r="FW47" s="78"/>
      <c r="FX47" s="78"/>
      <c r="FY47" s="37">
        <f t="shared" si="253"/>
        <v>0</v>
      </c>
      <c r="FZ47" s="37">
        <f t="shared" si="254"/>
        <v>0</v>
      </c>
      <c r="GA47" s="78"/>
      <c r="GB47" s="78"/>
      <c r="GC47" s="78"/>
      <c r="GD47" s="78"/>
      <c r="GE47" s="78"/>
      <c r="GF47" s="78"/>
      <c r="GG47" s="78"/>
      <c r="GH47" s="78"/>
      <c r="GI47" s="78"/>
      <c r="GJ47" s="78"/>
      <c r="GK47" s="78"/>
      <c r="GL47" s="78"/>
      <c r="GM47" s="78"/>
      <c r="GN47" s="78"/>
      <c r="GO47" s="78"/>
      <c r="GP47" s="78"/>
      <c r="GQ47" s="78"/>
      <c r="GR47" s="98">
        <f t="shared" si="255"/>
        <v>0</v>
      </c>
      <c r="GS47" s="98">
        <f t="shared" si="256"/>
        <v>0</v>
      </c>
      <c r="GT47" s="78"/>
      <c r="GU47" s="95" t="s">
        <v>208</v>
      </c>
      <c r="GV47" s="95" t="s">
        <v>219</v>
      </c>
      <c r="GW47" s="78"/>
      <c r="GX47" s="95" t="s">
        <v>294</v>
      </c>
      <c r="GY47" s="95" t="s">
        <v>295</v>
      </c>
      <c r="GZ47" s="78"/>
      <c r="HA47" s="78"/>
      <c r="HB47" s="78"/>
      <c r="HC47" s="78"/>
      <c r="HD47" s="78"/>
      <c r="HE47" s="78"/>
      <c r="HF47" s="78"/>
      <c r="HG47" s="169">
        <v>40.0</v>
      </c>
      <c r="HH47" s="169" t="s">
        <v>260</v>
      </c>
      <c r="HI47" s="106"/>
      <c r="HJ47" s="163" t="s">
        <v>309</v>
      </c>
      <c r="HK47" s="154">
        <v>4.0</v>
      </c>
      <c r="HL47" s="170" t="s">
        <v>307</v>
      </c>
    </row>
    <row r="48">
      <c r="A48" s="165" t="s">
        <v>310</v>
      </c>
      <c r="B48" s="166"/>
      <c r="C48" s="166"/>
      <c r="D48" s="166"/>
      <c r="E48" s="83">
        <v>42.0</v>
      </c>
      <c r="F48" s="83">
        <v>2.0</v>
      </c>
      <c r="G48" s="82" t="s">
        <v>176</v>
      </c>
      <c r="H48" s="111">
        <v>2.45</v>
      </c>
      <c r="I48" s="132"/>
      <c r="J48" s="86">
        <v>45839.0</v>
      </c>
      <c r="K48" s="95" t="s">
        <v>300</v>
      </c>
      <c r="L48" s="95" t="s">
        <v>301</v>
      </c>
      <c r="M48" s="37">
        <f t="shared" si="214"/>
        <v>510828</v>
      </c>
      <c r="N48" s="37">
        <f t="shared" si="215"/>
        <v>208501.2245</v>
      </c>
      <c r="O48" s="37">
        <f t="shared" si="216"/>
        <v>58333.33333</v>
      </c>
      <c r="P48" s="37">
        <f t="shared" si="217"/>
        <v>23809.52381</v>
      </c>
      <c r="Q48" s="37">
        <f t="shared" si="218"/>
        <v>345000</v>
      </c>
      <c r="R48" s="37">
        <f t="shared" si="219"/>
        <v>140816.3265</v>
      </c>
      <c r="S48" s="37">
        <f t="shared" si="220"/>
        <v>-165828</v>
      </c>
      <c r="T48" s="37">
        <f t="shared" si="221"/>
        <v>-67684.89796</v>
      </c>
      <c r="U48" s="44">
        <f t="shared" si="222"/>
        <v>-224161.3333</v>
      </c>
      <c r="V48" s="44">
        <f t="shared" si="223"/>
        <v>-91494.42177</v>
      </c>
      <c r="W48" s="95">
        <f t="shared" si="224"/>
        <v>98</v>
      </c>
      <c r="X48" s="78"/>
      <c r="Y48" s="78"/>
      <c r="Z48" s="78"/>
      <c r="AA48" s="91">
        <v>57.5</v>
      </c>
      <c r="AB48" s="104">
        <f t="shared" si="225"/>
        <v>-40.5</v>
      </c>
      <c r="AC48" s="93">
        <v>0.0</v>
      </c>
      <c r="AD48" s="94">
        <f t="shared" si="226"/>
        <v>0</v>
      </c>
      <c r="AE48" s="171">
        <f t="shared" si="227"/>
        <v>23.46938776</v>
      </c>
      <c r="AF48" s="95">
        <v>6000.0</v>
      </c>
      <c r="AG48" s="95">
        <f t="shared" si="228"/>
        <v>-243000</v>
      </c>
      <c r="AH48" s="167"/>
      <c r="AI48" s="78"/>
      <c r="AJ48" s="129">
        <f t="shared" si="229"/>
        <v>345000</v>
      </c>
      <c r="AK48" s="37">
        <f t="shared" si="230"/>
        <v>140816.3265</v>
      </c>
      <c r="AL48" s="95" t="s">
        <v>254</v>
      </c>
      <c r="AM48" s="95">
        <v>5.0</v>
      </c>
      <c r="AN48" s="95">
        <f t="shared" si="231"/>
        <v>2.040816327</v>
      </c>
      <c r="AO48" s="95">
        <v>25000.0</v>
      </c>
      <c r="AP48" s="78"/>
      <c r="AQ48" s="78"/>
      <c r="AR48" s="95">
        <v>17500.0</v>
      </c>
      <c r="AS48" s="78"/>
      <c r="AT48" s="78"/>
      <c r="AU48" s="78"/>
      <c r="AV48" s="78"/>
      <c r="AW48" s="78"/>
      <c r="AX48" s="78"/>
      <c r="AY48" s="78"/>
      <c r="AZ48" s="78"/>
      <c r="BA48" s="78"/>
      <c r="BB48" s="37">
        <f t="shared" si="232"/>
        <v>142500</v>
      </c>
      <c r="BC48" s="37">
        <f t="shared" si="233"/>
        <v>58163.26531</v>
      </c>
      <c r="BD48" s="37">
        <f t="shared" si="234"/>
        <v>0</v>
      </c>
      <c r="BE48" s="37">
        <f t="shared" si="235"/>
        <v>0</v>
      </c>
      <c r="BF48" s="95" t="s">
        <v>190</v>
      </c>
      <c r="BG48" s="95">
        <v>2.0</v>
      </c>
      <c r="BH48" s="95">
        <f t="shared" si="236"/>
        <v>91666.66667</v>
      </c>
      <c r="BI48" s="95" t="s">
        <v>302</v>
      </c>
      <c r="BJ48" s="95">
        <v>1.0</v>
      </c>
      <c r="BK48" s="95">
        <f t="shared" si="237"/>
        <v>108333.3333</v>
      </c>
      <c r="BL48" s="78"/>
      <c r="BM48" s="78"/>
      <c r="BN48" s="78"/>
      <c r="BO48" s="78"/>
      <c r="BP48" s="78"/>
      <c r="BQ48" s="78"/>
      <c r="BR48" s="37">
        <f t="shared" si="238"/>
        <v>58333.33333</v>
      </c>
      <c r="BS48" s="87" t="s">
        <v>219</v>
      </c>
      <c r="BT48" s="98">
        <v>4000.0</v>
      </c>
      <c r="BU48" s="98">
        <v>0.0</v>
      </c>
      <c r="BV48" s="98" t="s">
        <v>208</v>
      </c>
      <c r="BW48" s="98">
        <v>1000.0</v>
      </c>
      <c r="BX48" s="98">
        <v>0.0</v>
      </c>
      <c r="BY48" s="90"/>
      <c r="BZ48" s="37">
        <f t="shared" ref="BZ48:CA48" si="257">BT48+BW48</f>
        <v>5000</v>
      </c>
      <c r="CA48" s="37">
        <f t="shared" si="257"/>
        <v>0</v>
      </c>
      <c r="CB48" s="95">
        <f t="shared" si="240"/>
        <v>61250</v>
      </c>
      <c r="CC48" s="95">
        <v>25000.0</v>
      </c>
      <c r="CD48" s="95">
        <v>21560.0</v>
      </c>
      <c r="CE48" s="95">
        <f t="shared" si="241"/>
        <v>8800</v>
      </c>
      <c r="CF48" s="87">
        <f t="shared" si="258"/>
        <v>73500</v>
      </c>
      <c r="CG48" s="95">
        <f t="shared" si="259"/>
        <v>30000</v>
      </c>
      <c r="CH48" s="95">
        <v>7000.0</v>
      </c>
      <c r="CI48" s="95">
        <v>0.0</v>
      </c>
      <c r="CJ48" s="95">
        <v>0.0</v>
      </c>
      <c r="CK48" s="95">
        <v>0.0</v>
      </c>
      <c r="CL48" s="95">
        <v>0.0</v>
      </c>
      <c r="CM48" s="95">
        <v>0.0</v>
      </c>
      <c r="CN48" s="95">
        <v>0.0</v>
      </c>
      <c r="CO48" s="95">
        <v>1300.0</v>
      </c>
      <c r="CP48" s="87">
        <f t="shared" si="242"/>
        <v>74750</v>
      </c>
      <c r="CQ48" s="87">
        <f t="shared" si="243"/>
        <v>30510.20408</v>
      </c>
      <c r="CR48" s="78"/>
      <c r="CS48" s="37">
        <f t="shared" si="244"/>
        <v>163310</v>
      </c>
      <c r="CT48" s="95" t="s">
        <v>225</v>
      </c>
      <c r="CU48" s="95" t="s">
        <v>213</v>
      </c>
      <c r="CV48" s="95">
        <v>21.0</v>
      </c>
      <c r="CW48" s="78"/>
      <c r="CX48" s="78"/>
      <c r="CY48" s="78"/>
      <c r="CZ48" s="78"/>
      <c r="DA48" s="167"/>
      <c r="DB48" s="78"/>
      <c r="DC48" s="78"/>
      <c r="DD48" s="78"/>
      <c r="DE48" s="78"/>
      <c r="DF48" s="78"/>
      <c r="DG48" s="167"/>
      <c r="DH48" s="78"/>
      <c r="DI48" s="78"/>
      <c r="DJ48" s="95" t="s">
        <v>227</v>
      </c>
      <c r="DK48" s="95">
        <v>98.0</v>
      </c>
      <c r="DL48" s="95">
        <f t="shared" si="245"/>
        <v>40</v>
      </c>
      <c r="DM48" s="95">
        <v>2041.0</v>
      </c>
      <c r="DN48" s="95" t="s">
        <v>215</v>
      </c>
      <c r="DO48" s="87">
        <v>0.0</v>
      </c>
      <c r="DP48" s="95">
        <v>0.0</v>
      </c>
      <c r="DQ48" s="78"/>
      <c r="DR48" s="78"/>
      <c r="DS48" s="78"/>
      <c r="DT48" s="78"/>
      <c r="DU48" s="95">
        <v>1.0</v>
      </c>
      <c r="DV48" s="95">
        <v>0.0</v>
      </c>
      <c r="DW48" s="78"/>
      <c r="DX48" s="37">
        <f t="shared" si="246"/>
        <v>200018</v>
      </c>
      <c r="DY48" s="37">
        <f t="shared" si="247"/>
        <v>81640</v>
      </c>
      <c r="DZ48" s="78"/>
      <c r="EA48" s="78"/>
      <c r="EB48" s="95">
        <f t="shared" si="248"/>
        <v>0</v>
      </c>
      <c r="EC48" s="78"/>
      <c r="ED48" s="78"/>
      <c r="EE48" s="78"/>
      <c r="EF48" s="95">
        <f t="shared" si="249"/>
        <v>0</v>
      </c>
      <c r="EG48" s="78"/>
      <c r="EH48" s="78"/>
      <c r="EI48" s="78"/>
      <c r="EJ48" s="95">
        <f t="shared" si="250"/>
        <v>0</v>
      </c>
      <c r="EK48" s="78"/>
      <c r="EL48" s="78"/>
      <c r="EM48" s="78"/>
      <c r="EN48" s="78"/>
      <c r="EO48" s="78"/>
      <c r="EP48" s="78"/>
      <c r="EQ48" s="78"/>
      <c r="ER48" s="168">
        <f t="shared" si="251"/>
        <v>0</v>
      </c>
      <c r="ES48" s="168">
        <f t="shared" si="252"/>
        <v>0</v>
      </c>
      <c r="ET48" s="95" t="s">
        <v>217</v>
      </c>
      <c r="EU48" s="95">
        <v>0.0</v>
      </c>
      <c r="EV48" s="95">
        <v>0.0</v>
      </c>
      <c r="EW48" s="78"/>
      <c r="EX48" s="78"/>
      <c r="EY48" s="78"/>
      <c r="EZ48" s="78"/>
      <c r="FA48" s="78"/>
      <c r="FB48" s="78"/>
      <c r="FC48" s="78"/>
      <c r="FD48" s="78"/>
      <c r="FE48" s="78"/>
      <c r="FF48" s="78"/>
      <c r="FG48" s="78"/>
      <c r="FH48" s="78"/>
      <c r="FI48" s="78"/>
      <c r="FJ48" s="78"/>
      <c r="FK48" s="78"/>
      <c r="FL48" s="78"/>
      <c r="FM48" s="78"/>
      <c r="FN48" s="78"/>
      <c r="FO48" s="78"/>
      <c r="FP48" s="78"/>
      <c r="FQ48" s="78"/>
      <c r="FR48" s="78"/>
      <c r="FS48" s="78"/>
      <c r="FT48" s="78"/>
      <c r="FU48" s="78"/>
      <c r="FV48" s="78"/>
      <c r="FW48" s="78"/>
      <c r="FX48" s="78"/>
      <c r="FY48" s="37">
        <f t="shared" si="253"/>
        <v>0</v>
      </c>
      <c r="FZ48" s="37">
        <f t="shared" si="254"/>
        <v>0</v>
      </c>
      <c r="GA48" s="78"/>
      <c r="GB48" s="78"/>
      <c r="GC48" s="78"/>
      <c r="GD48" s="78"/>
      <c r="GE48" s="78"/>
      <c r="GF48" s="78"/>
      <c r="GG48" s="78"/>
      <c r="GH48" s="78"/>
      <c r="GI48" s="78"/>
      <c r="GJ48" s="78"/>
      <c r="GK48" s="78"/>
      <c r="GL48" s="78"/>
      <c r="GM48" s="78"/>
      <c r="GN48" s="78"/>
      <c r="GO48" s="78"/>
      <c r="GP48" s="78"/>
      <c r="GQ48" s="78"/>
      <c r="GR48" s="98">
        <f t="shared" si="255"/>
        <v>0</v>
      </c>
      <c r="GS48" s="98">
        <f t="shared" si="256"/>
        <v>0</v>
      </c>
      <c r="GT48" s="78"/>
      <c r="GU48" s="78"/>
      <c r="GV48" s="78"/>
      <c r="GW48" s="78"/>
      <c r="GX48" s="78"/>
      <c r="GY48" s="78"/>
      <c r="GZ48" s="78"/>
      <c r="HA48" s="78"/>
      <c r="HB48" s="78"/>
      <c r="HC48" s="78"/>
      <c r="HD48" s="78"/>
      <c r="HE48" s="78"/>
      <c r="HF48" s="78"/>
      <c r="HG48" s="169">
        <v>40.0</v>
      </c>
      <c r="HH48" s="169" t="s">
        <v>260</v>
      </c>
      <c r="HI48" s="106"/>
      <c r="HJ48" s="163" t="s">
        <v>309</v>
      </c>
      <c r="HK48" s="154">
        <v>7.0</v>
      </c>
      <c r="HL48" s="170" t="s">
        <v>307</v>
      </c>
    </row>
    <row r="49">
      <c r="A49" s="165" t="s">
        <v>311</v>
      </c>
      <c r="B49" s="166"/>
      <c r="C49" s="166"/>
      <c r="D49" s="166"/>
      <c r="E49" s="83">
        <v>42.0</v>
      </c>
      <c r="F49" s="83">
        <v>2.0</v>
      </c>
      <c r="G49" s="82" t="s">
        <v>176</v>
      </c>
      <c r="H49" s="111">
        <v>3.55</v>
      </c>
      <c r="I49" s="132"/>
      <c r="J49" s="86">
        <v>45810.0</v>
      </c>
      <c r="K49" s="95" t="s">
        <v>300</v>
      </c>
      <c r="L49" s="95" t="s">
        <v>301</v>
      </c>
      <c r="M49" s="37">
        <f t="shared" si="214"/>
        <v>587052</v>
      </c>
      <c r="N49" s="37">
        <f t="shared" si="215"/>
        <v>165366.7606</v>
      </c>
      <c r="O49" s="37">
        <f t="shared" si="216"/>
        <v>58333.33333</v>
      </c>
      <c r="P49" s="37">
        <f t="shared" si="217"/>
        <v>16431.92488</v>
      </c>
      <c r="Q49" s="37">
        <f t="shared" si="218"/>
        <v>810000</v>
      </c>
      <c r="R49" s="37">
        <f t="shared" si="219"/>
        <v>228169.0141</v>
      </c>
      <c r="S49" s="37">
        <f t="shared" si="220"/>
        <v>222948</v>
      </c>
      <c r="T49" s="37">
        <f t="shared" si="221"/>
        <v>62802.25352</v>
      </c>
      <c r="U49" s="38">
        <f t="shared" si="222"/>
        <v>164614.6667</v>
      </c>
      <c r="V49" s="38">
        <f t="shared" si="223"/>
        <v>46370.32864</v>
      </c>
      <c r="W49" s="95">
        <f t="shared" si="224"/>
        <v>142</v>
      </c>
      <c r="X49" s="78"/>
      <c r="Y49" s="78"/>
      <c r="Z49" s="78"/>
      <c r="AA49" s="112">
        <v>135.0</v>
      </c>
      <c r="AB49" s="104">
        <f t="shared" si="225"/>
        <v>-7</v>
      </c>
      <c r="AC49" s="93">
        <v>0.0</v>
      </c>
      <c r="AD49" s="94">
        <f t="shared" si="226"/>
        <v>0</v>
      </c>
      <c r="AE49" s="171">
        <f t="shared" si="227"/>
        <v>38.02816901</v>
      </c>
      <c r="AF49" s="95">
        <v>6000.0</v>
      </c>
      <c r="AG49" s="95">
        <f t="shared" si="228"/>
        <v>-42000</v>
      </c>
      <c r="AH49" s="167"/>
      <c r="AI49" s="78"/>
      <c r="AJ49" s="129">
        <f t="shared" si="229"/>
        <v>810000</v>
      </c>
      <c r="AK49" s="37">
        <f t="shared" si="230"/>
        <v>228169.0141</v>
      </c>
      <c r="AL49" s="95" t="s">
        <v>254</v>
      </c>
      <c r="AM49" s="95">
        <v>7.0</v>
      </c>
      <c r="AN49" s="95">
        <f t="shared" si="231"/>
        <v>1.971830986</v>
      </c>
      <c r="AO49" s="95">
        <v>25000.0</v>
      </c>
      <c r="AP49" s="78"/>
      <c r="AQ49" s="78"/>
      <c r="AR49" s="95">
        <v>12000.0</v>
      </c>
      <c r="AS49" s="78"/>
      <c r="AT49" s="78"/>
      <c r="AU49" s="78"/>
      <c r="AV49" s="78"/>
      <c r="AW49" s="78"/>
      <c r="AX49" s="78"/>
      <c r="AY49" s="78"/>
      <c r="AZ49" s="78"/>
      <c r="BA49" s="78"/>
      <c r="BB49" s="37">
        <f t="shared" si="232"/>
        <v>187000</v>
      </c>
      <c r="BC49" s="37">
        <f t="shared" si="233"/>
        <v>52676.05634</v>
      </c>
      <c r="BD49" s="37">
        <f t="shared" si="234"/>
        <v>0</v>
      </c>
      <c r="BE49" s="37">
        <f t="shared" si="235"/>
        <v>0</v>
      </c>
      <c r="BF49" s="95" t="s">
        <v>190</v>
      </c>
      <c r="BG49" s="95">
        <v>2.0</v>
      </c>
      <c r="BH49" s="95">
        <f t="shared" si="236"/>
        <v>91666.66667</v>
      </c>
      <c r="BI49" s="95" t="s">
        <v>302</v>
      </c>
      <c r="BJ49" s="95">
        <v>1.0</v>
      </c>
      <c r="BK49" s="95">
        <f t="shared" si="237"/>
        <v>108333.3333</v>
      </c>
      <c r="BL49" s="78"/>
      <c r="BM49" s="78"/>
      <c r="BN49" s="78"/>
      <c r="BO49" s="78"/>
      <c r="BP49" s="78"/>
      <c r="BQ49" s="78"/>
      <c r="BR49" s="37">
        <f t="shared" si="238"/>
        <v>58333.33333</v>
      </c>
      <c r="BS49" s="90"/>
      <c r="BT49" s="90"/>
      <c r="BU49" s="90"/>
      <c r="BV49" s="90"/>
      <c r="BW49" s="90"/>
      <c r="BX49" s="90"/>
      <c r="BY49" s="90"/>
      <c r="BZ49" s="37">
        <f t="shared" ref="BZ49:CA49" si="260">BT49+BW49</f>
        <v>0</v>
      </c>
      <c r="CA49" s="37">
        <f t="shared" si="260"/>
        <v>0</v>
      </c>
      <c r="CB49" s="95">
        <f t="shared" si="240"/>
        <v>88750</v>
      </c>
      <c r="CC49" s="95">
        <v>25000.0</v>
      </c>
      <c r="CD49" s="95">
        <v>31240.0</v>
      </c>
      <c r="CE49" s="95">
        <f t="shared" si="241"/>
        <v>8800</v>
      </c>
      <c r="CF49" s="87">
        <f>CG49*H49</f>
        <v>0</v>
      </c>
      <c r="CG49" s="95">
        <v>0.0</v>
      </c>
      <c r="CH49" s="95">
        <v>30000.0</v>
      </c>
      <c r="CI49" s="95">
        <v>0.0</v>
      </c>
      <c r="CJ49" s="95">
        <v>0.0</v>
      </c>
      <c r="CK49" s="95">
        <v>0.0</v>
      </c>
      <c r="CL49" s="95">
        <v>0.0</v>
      </c>
      <c r="CM49" s="95">
        <v>0.0</v>
      </c>
      <c r="CN49" s="95">
        <v>0.0</v>
      </c>
      <c r="CO49" s="95">
        <v>1300.0</v>
      </c>
      <c r="CP49" s="87">
        <f t="shared" si="242"/>
        <v>175500</v>
      </c>
      <c r="CQ49" s="87">
        <f t="shared" si="243"/>
        <v>49436.61972</v>
      </c>
      <c r="CR49" s="78"/>
      <c r="CS49" s="37">
        <f t="shared" si="244"/>
        <v>149990</v>
      </c>
      <c r="CT49" s="95" t="s">
        <v>225</v>
      </c>
      <c r="CU49" s="95" t="s">
        <v>213</v>
      </c>
      <c r="CV49" s="95">
        <v>19.0</v>
      </c>
      <c r="CW49" s="78"/>
      <c r="CX49" s="78"/>
      <c r="CY49" s="78"/>
      <c r="CZ49" s="78"/>
      <c r="DA49" s="167"/>
      <c r="DB49" s="78"/>
      <c r="DC49" s="78"/>
      <c r="DD49" s="78"/>
      <c r="DE49" s="78"/>
      <c r="DF49" s="78"/>
      <c r="DG49" s="167"/>
      <c r="DH49" s="78"/>
      <c r="DI49" s="78"/>
      <c r="DJ49" s="95" t="s">
        <v>227</v>
      </c>
      <c r="DK49" s="95">
        <v>142.0</v>
      </c>
      <c r="DL49" s="95">
        <f t="shared" si="245"/>
        <v>40</v>
      </c>
      <c r="DM49" s="95">
        <v>1761.0</v>
      </c>
      <c r="DN49" s="95" t="s">
        <v>215</v>
      </c>
      <c r="DO49" s="95">
        <f>3*3</f>
        <v>9</v>
      </c>
      <c r="DP49" s="95">
        <v>0.0</v>
      </c>
      <c r="DQ49" s="78"/>
      <c r="DR49" s="78"/>
      <c r="DS49" s="78"/>
      <c r="DT49" s="78"/>
      <c r="DU49" s="95">
        <v>4.0</v>
      </c>
      <c r="DV49" s="95">
        <v>0.0</v>
      </c>
      <c r="DW49" s="78"/>
      <c r="DX49" s="37">
        <f t="shared" si="246"/>
        <v>250062</v>
      </c>
      <c r="DY49" s="37">
        <f t="shared" si="247"/>
        <v>70440</v>
      </c>
      <c r="DZ49" s="78"/>
      <c r="EA49" s="78"/>
      <c r="EB49" s="95">
        <f t="shared" si="248"/>
        <v>0</v>
      </c>
      <c r="EC49" s="78"/>
      <c r="ED49" s="78"/>
      <c r="EE49" s="78"/>
      <c r="EF49" s="95">
        <f t="shared" si="249"/>
        <v>0</v>
      </c>
      <c r="EG49" s="78"/>
      <c r="EH49" s="78"/>
      <c r="EI49" s="78"/>
      <c r="EJ49" s="95">
        <f t="shared" si="250"/>
        <v>0</v>
      </c>
      <c r="EK49" s="78"/>
      <c r="EL49" s="78"/>
      <c r="EM49" s="78"/>
      <c r="EN49" s="78"/>
      <c r="EO49" s="78"/>
      <c r="EP49" s="78"/>
      <c r="EQ49" s="78"/>
      <c r="ER49" s="168">
        <f t="shared" si="251"/>
        <v>0</v>
      </c>
      <c r="ES49" s="168">
        <f t="shared" si="252"/>
        <v>0</v>
      </c>
      <c r="ET49" s="95" t="s">
        <v>217</v>
      </c>
      <c r="EU49" s="95">
        <v>3.0</v>
      </c>
      <c r="EV49" s="95">
        <v>0.0</v>
      </c>
      <c r="EW49" s="95">
        <f>3*3</f>
        <v>9</v>
      </c>
      <c r="EX49" s="95">
        <v>2.0</v>
      </c>
      <c r="EY49" s="95">
        <v>1.0</v>
      </c>
      <c r="EZ49" s="78"/>
      <c r="FA49" s="78"/>
      <c r="FB49" s="78"/>
      <c r="FC49" s="78"/>
      <c r="FD49" s="78"/>
      <c r="FE49" s="78"/>
      <c r="FF49" s="78"/>
      <c r="FG49" s="78"/>
      <c r="FH49" s="78"/>
      <c r="FI49" s="78"/>
      <c r="FJ49" s="78"/>
      <c r="FK49" s="78"/>
      <c r="FL49" s="78"/>
      <c r="FM49" s="78"/>
      <c r="FN49" s="78"/>
      <c r="FO49" s="78"/>
      <c r="FP49" s="78"/>
      <c r="FQ49" s="78"/>
      <c r="FR49" s="78"/>
      <c r="FS49" s="78"/>
      <c r="FT49" s="78"/>
      <c r="FU49" s="78"/>
      <c r="FV49" s="78"/>
      <c r="FW49" s="78"/>
      <c r="FX49" s="78"/>
      <c r="FY49" s="37">
        <f t="shared" si="253"/>
        <v>0</v>
      </c>
      <c r="FZ49" s="37">
        <f t="shared" si="254"/>
        <v>0</v>
      </c>
      <c r="GA49" s="78"/>
      <c r="GB49" s="78"/>
      <c r="GC49" s="78"/>
      <c r="GD49" s="78"/>
      <c r="GE49" s="78"/>
      <c r="GF49" s="78"/>
      <c r="GG49" s="78"/>
      <c r="GH49" s="78"/>
      <c r="GI49" s="78"/>
      <c r="GJ49" s="78"/>
      <c r="GK49" s="78"/>
      <c r="GL49" s="78"/>
      <c r="GM49" s="78"/>
      <c r="GN49" s="78"/>
      <c r="GO49" s="78"/>
      <c r="GP49" s="78"/>
      <c r="GQ49" s="78"/>
      <c r="GR49" s="98">
        <f t="shared" si="255"/>
        <v>0</v>
      </c>
      <c r="GS49" s="98">
        <f t="shared" si="256"/>
        <v>0</v>
      </c>
      <c r="GT49" s="95" t="s">
        <v>194</v>
      </c>
      <c r="GU49" s="78"/>
      <c r="GV49" s="78"/>
      <c r="GW49" s="78"/>
      <c r="GX49" s="95" t="s">
        <v>294</v>
      </c>
      <c r="GY49" s="95" t="s">
        <v>295</v>
      </c>
      <c r="GZ49" s="78"/>
      <c r="HA49" s="78"/>
      <c r="HB49" s="78"/>
      <c r="HC49" s="78"/>
      <c r="HD49" s="78"/>
      <c r="HE49" s="78"/>
      <c r="HF49" s="78"/>
      <c r="HG49" s="169">
        <v>40.0</v>
      </c>
      <c r="HH49" s="169" t="s">
        <v>260</v>
      </c>
      <c r="HI49" s="106"/>
      <c r="HJ49" s="163" t="s">
        <v>296</v>
      </c>
      <c r="HK49" s="154">
        <v>6.0</v>
      </c>
      <c r="HL49" s="170" t="s">
        <v>307</v>
      </c>
    </row>
    <row r="50">
      <c r="A50" s="113" t="s">
        <v>312</v>
      </c>
      <c r="B50" s="172"/>
      <c r="C50" s="172"/>
      <c r="D50" s="172"/>
    </row>
    <row r="51">
      <c r="A51" s="165" t="s">
        <v>313</v>
      </c>
      <c r="B51" s="126"/>
      <c r="C51" s="126"/>
      <c r="D51" s="126"/>
      <c r="E51" s="83">
        <v>44.0</v>
      </c>
      <c r="F51" s="83">
        <v>5.0</v>
      </c>
      <c r="G51" s="82" t="s">
        <v>176</v>
      </c>
      <c r="H51" s="84">
        <v>4.81</v>
      </c>
      <c r="I51" s="132"/>
      <c r="J51" s="86">
        <v>45839.0</v>
      </c>
      <c r="K51" s="95" t="s">
        <v>177</v>
      </c>
      <c r="L51" s="95" t="s">
        <v>178</v>
      </c>
      <c r="M51" s="37">
        <f>BB51+BZ51+DX51+ER51+FY51+GR51+CS51</f>
        <v>912582</v>
      </c>
      <c r="N51" s="37">
        <f>M51/H51</f>
        <v>189725.9875</v>
      </c>
      <c r="O51" s="37">
        <f>BR51</f>
        <v>58333.33333</v>
      </c>
      <c r="P51" s="37">
        <f>O51/H51</f>
        <v>12127.51213</v>
      </c>
      <c r="Q51" s="37">
        <f>BD51+AJ51+CA51</f>
        <v>1654000</v>
      </c>
      <c r="R51" s="37">
        <f>Q51/H51</f>
        <v>343866.9439</v>
      </c>
      <c r="S51" s="37">
        <f>Q51-M51</f>
        <v>741418</v>
      </c>
      <c r="T51" s="37">
        <f>S51/H51</f>
        <v>154140.9563</v>
      </c>
      <c r="U51" s="38">
        <f>Q51-O51-M51</f>
        <v>683084.6667</v>
      </c>
      <c r="V51" s="38">
        <f>U51/H51</f>
        <v>142013.4442</v>
      </c>
      <c r="W51" s="95">
        <f>40*H51</f>
        <v>192.4</v>
      </c>
      <c r="X51" s="78"/>
      <c r="Y51" s="78"/>
      <c r="Z51" s="78"/>
      <c r="AA51" s="91">
        <v>209.0</v>
      </c>
      <c r="AB51" s="92">
        <f>AA51-W51</f>
        <v>16.6</v>
      </c>
      <c r="AC51" s="93">
        <f>ifs(AB51&lt;0,AB51*AF51,AB51&gt;0,0,AB51="","")</f>
        <v>0</v>
      </c>
      <c r="AD51" s="94">
        <f>IF(X51&lt;&gt;"", IFS(AB51&lt;0, AB51*AF51, AB51&gt;0, 0, AB51="", ""), 0)</f>
        <v>0</v>
      </c>
      <c r="AE51" s="159">
        <f>AA51/H51</f>
        <v>43.45114345</v>
      </c>
      <c r="AF51" s="95">
        <v>6000.0</v>
      </c>
      <c r="AG51" s="95">
        <f>(AA51*AF51)-(H51*40*6000)</f>
        <v>99600</v>
      </c>
      <c r="AH51" s="173">
        <v>45857.0</v>
      </c>
      <c r="AI51" s="78"/>
      <c r="AJ51" s="37">
        <f>AA51*AF51</f>
        <v>1254000</v>
      </c>
      <c r="AK51" s="37">
        <f>AJ51/H51</f>
        <v>260706.8607</v>
      </c>
      <c r="AL51" s="95" t="s">
        <v>254</v>
      </c>
      <c r="AM51" s="95">
        <v>10.0</v>
      </c>
      <c r="AN51" s="95">
        <f>AM51/H51</f>
        <v>2.079002079</v>
      </c>
      <c r="AO51" s="95">
        <v>25000.0</v>
      </c>
      <c r="AP51" s="95">
        <v>10.0</v>
      </c>
      <c r="AQ51" s="95">
        <v>40000.0</v>
      </c>
      <c r="AR51" s="78"/>
      <c r="AS51" s="78"/>
      <c r="AT51" s="78"/>
      <c r="AU51" s="78"/>
      <c r="AV51" s="78"/>
      <c r="AW51" s="78"/>
      <c r="AX51" s="78"/>
      <c r="AY51" s="78"/>
      <c r="AZ51" s="78"/>
      <c r="BA51" s="78"/>
      <c r="BB51" s="37">
        <f>AM51*AO51+AR51+(AU51*AV51+AY51)</f>
        <v>250000</v>
      </c>
      <c r="BC51" s="37">
        <f>BB51/H51</f>
        <v>51975.05198</v>
      </c>
      <c r="BD51" s="37">
        <f>(AP51*AQ51)+AS51+(AW51*AX51)+AZ51</f>
        <v>400000</v>
      </c>
      <c r="BE51" s="37">
        <f>BD51/H51</f>
        <v>83160.08316</v>
      </c>
      <c r="BF51" s="95" t="s">
        <v>190</v>
      </c>
      <c r="BG51" s="95">
        <v>2.0</v>
      </c>
      <c r="BH51" s="95">
        <f>550000/6</f>
        <v>91666.66667</v>
      </c>
      <c r="BI51" s="95" t="s">
        <v>302</v>
      </c>
      <c r="BJ51" s="95">
        <v>1.0</v>
      </c>
      <c r="BK51" s="95">
        <f>650000/6</f>
        <v>108333.3333</v>
      </c>
      <c r="BL51" s="78"/>
      <c r="BM51" s="78"/>
      <c r="BN51" s="78"/>
      <c r="BO51" s="78"/>
      <c r="BP51" s="78"/>
      <c r="BQ51" s="78"/>
      <c r="BR51" s="37">
        <f>(BG51*BH51+BJ51*BK51+BM51*BN51+BP51*BQ51)/5</f>
        <v>58333.33333</v>
      </c>
      <c r="BS51" s="90"/>
      <c r="BT51" s="90"/>
      <c r="BU51" s="90"/>
      <c r="BV51" s="90"/>
      <c r="BW51" s="90"/>
      <c r="BX51" s="90"/>
      <c r="BY51" s="90"/>
      <c r="BZ51" s="37">
        <f t="shared" ref="BZ51:CA51" si="261">BT51+BW51</f>
        <v>0</v>
      </c>
      <c r="CA51" s="37">
        <f t="shared" si="261"/>
        <v>0</v>
      </c>
      <c r="CB51" s="95">
        <f>CC51*H51</f>
        <v>120250</v>
      </c>
      <c r="CC51" s="95">
        <v>25000.0</v>
      </c>
      <c r="CD51" s="95">
        <v>42328.0</v>
      </c>
      <c r="CE51" s="95">
        <f>CD51/H51</f>
        <v>8800</v>
      </c>
      <c r="CF51" s="95">
        <f>CG51*H51</f>
        <v>0</v>
      </c>
      <c r="CG51" s="95">
        <v>0.0</v>
      </c>
      <c r="CH51" s="95">
        <v>0.0</v>
      </c>
      <c r="CI51" s="95">
        <v>0.0</v>
      </c>
      <c r="CJ51" s="95">
        <v>0.0</v>
      </c>
      <c r="CK51" s="95">
        <v>0.0</v>
      </c>
      <c r="CL51" s="95">
        <v>0.0</v>
      </c>
      <c r="CM51" s="95">
        <v>0.0</v>
      </c>
      <c r="CN51" s="95">
        <v>0.0</v>
      </c>
      <c r="CO51" s="95">
        <v>1400.0</v>
      </c>
      <c r="CP51" s="87">
        <f>CO51*AA51</f>
        <v>292600</v>
      </c>
      <c r="CQ51" s="87">
        <f>CP51/H51</f>
        <v>60831.60083</v>
      </c>
      <c r="CR51" s="78"/>
      <c r="CS51" s="37">
        <f>CB51+CD51+CF51+CH51+CI51+CK51+CL51+CM51+CN51</f>
        <v>162578</v>
      </c>
      <c r="CT51" s="95" t="s">
        <v>225</v>
      </c>
      <c r="CU51" s="95" t="s">
        <v>213</v>
      </c>
      <c r="CV51" s="95">
        <v>17.0</v>
      </c>
      <c r="CW51" s="136">
        <v>45756.0</v>
      </c>
      <c r="CX51" s="78"/>
      <c r="CY51" s="78"/>
      <c r="CZ51" s="78"/>
      <c r="DA51" s="173">
        <v>45857.0</v>
      </c>
      <c r="DB51" s="95" t="s">
        <v>314</v>
      </c>
      <c r="DC51" s="78"/>
      <c r="DD51" s="78"/>
      <c r="DE51" s="78"/>
      <c r="DF51" s="78"/>
      <c r="DG51" s="173">
        <v>45857.0</v>
      </c>
      <c r="DH51" s="78"/>
      <c r="DI51" s="78"/>
      <c r="DJ51" s="95" t="s">
        <v>227</v>
      </c>
      <c r="DK51" s="95">
        <v>193.5</v>
      </c>
      <c r="DL51" s="95">
        <f>DK51/H51</f>
        <v>40.22869023</v>
      </c>
      <c r="DM51" s="95">
        <v>2584.0</v>
      </c>
      <c r="DN51" s="95" t="s">
        <v>215</v>
      </c>
      <c r="DO51" s="95">
        <f>1.5*2</f>
        <v>3</v>
      </c>
      <c r="DP51" s="95">
        <v>0.0</v>
      </c>
      <c r="DQ51" s="78"/>
      <c r="DR51" s="78"/>
      <c r="DS51" s="78"/>
      <c r="DT51" s="95">
        <f>(DK51+DO51+DR51)/H51</f>
        <v>40.85239085</v>
      </c>
      <c r="DU51" s="95">
        <v>3.0</v>
      </c>
      <c r="DV51" s="95">
        <v>0.0</v>
      </c>
      <c r="DW51" s="78"/>
      <c r="DX51" s="37">
        <f>DK51*DM51+DP51*DO51+DS51*DR51</f>
        <v>500004</v>
      </c>
      <c r="DY51" s="37">
        <f>DX51/H51</f>
        <v>103950.9356</v>
      </c>
      <c r="DZ51" s="78"/>
      <c r="EA51" s="78"/>
      <c r="EB51" s="95">
        <f>EA51/H51</f>
        <v>0</v>
      </c>
      <c r="EC51" s="78"/>
      <c r="ED51" s="78"/>
      <c r="EE51" s="78"/>
      <c r="EF51" s="95">
        <f>EE51/H51</f>
        <v>0</v>
      </c>
      <c r="EG51" s="78"/>
      <c r="EH51" s="78"/>
      <c r="EI51" s="78"/>
      <c r="EJ51" s="95">
        <f>EI51/H51</f>
        <v>0</v>
      </c>
      <c r="EK51" s="78"/>
      <c r="EL51" s="78"/>
      <c r="EM51" s="78"/>
      <c r="EN51" s="78"/>
      <c r="EO51" s="78"/>
      <c r="EP51" s="78"/>
      <c r="EQ51" s="78"/>
      <c r="ER51" s="168">
        <f>EC51+EG51+EK51+EN51</f>
        <v>0</v>
      </c>
      <c r="ES51" s="168">
        <f>ER51/H51</f>
        <v>0</v>
      </c>
      <c r="ET51" s="95" t="s">
        <v>217</v>
      </c>
      <c r="EU51" s="95">
        <v>0.0</v>
      </c>
      <c r="EV51" s="95">
        <v>0.0</v>
      </c>
      <c r="EW51" s="95">
        <v>0.0</v>
      </c>
      <c r="EX51" s="95">
        <v>0.0</v>
      </c>
      <c r="EY51" s="95">
        <v>0.0</v>
      </c>
      <c r="EZ51" s="78"/>
      <c r="FA51" s="78"/>
      <c r="FB51" s="78"/>
      <c r="FC51" s="78"/>
      <c r="FD51" s="78"/>
      <c r="FE51" s="78"/>
      <c r="FF51" s="78"/>
      <c r="FG51" s="78"/>
      <c r="FH51" s="78"/>
      <c r="FI51" s="78"/>
      <c r="FJ51" s="78"/>
      <c r="FK51" s="78"/>
      <c r="FL51" s="78"/>
      <c r="FM51" s="78"/>
      <c r="FN51" s="78"/>
      <c r="FO51" s="78"/>
      <c r="FP51" s="78"/>
      <c r="FQ51" s="78"/>
      <c r="FR51" s="78"/>
      <c r="FS51" s="78"/>
      <c r="FT51" s="78"/>
      <c r="FU51" s="78"/>
      <c r="FV51" s="78"/>
      <c r="FW51" s="78"/>
      <c r="FX51" s="78"/>
      <c r="FY51" s="37">
        <f>EV51+FB51+FH51+FN51+FT51</f>
        <v>0</v>
      </c>
      <c r="FZ51" s="37">
        <f>FY51/H51</f>
        <v>0</v>
      </c>
      <c r="GA51" s="78"/>
      <c r="GB51" s="78"/>
      <c r="GC51" s="78"/>
      <c r="GD51" s="78"/>
      <c r="GE51" s="78"/>
      <c r="GF51" s="78"/>
      <c r="GG51" s="78"/>
      <c r="GH51" s="78"/>
      <c r="GI51" s="78"/>
      <c r="GJ51" s="78"/>
      <c r="GK51" s="78"/>
      <c r="GL51" s="78"/>
      <c r="GM51" s="78"/>
      <c r="GN51" s="78"/>
      <c r="GO51" s="78"/>
      <c r="GP51" s="78"/>
      <c r="GQ51" s="78"/>
      <c r="GR51" s="98">
        <f>GB51*GC51+GH51*GI51+GN51*GO51</f>
        <v>0</v>
      </c>
      <c r="GS51" s="98">
        <f>GR51/H51</f>
        <v>0</v>
      </c>
      <c r="GT51" s="95" t="s">
        <v>194</v>
      </c>
      <c r="GU51" s="78"/>
      <c r="GV51" s="78"/>
      <c r="GW51" s="78"/>
      <c r="GX51" s="78"/>
      <c r="GY51" s="78"/>
      <c r="GZ51" s="95" t="s">
        <v>315</v>
      </c>
      <c r="HA51" s="78"/>
      <c r="HB51" s="78"/>
      <c r="HC51" s="78"/>
      <c r="HD51" s="78"/>
      <c r="HE51" s="78"/>
      <c r="HF51" s="78"/>
      <c r="HG51" s="169">
        <v>40.0</v>
      </c>
      <c r="HH51" s="169" t="s">
        <v>260</v>
      </c>
      <c r="HI51" s="106"/>
      <c r="HJ51" s="163" t="s">
        <v>296</v>
      </c>
      <c r="HK51" s="154">
        <v>4.0</v>
      </c>
      <c r="HL51" s="170" t="s">
        <v>307</v>
      </c>
    </row>
    <row r="52">
      <c r="A52" s="113" t="s">
        <v>316</v>
      </c>
      <c r="B52" s="125"/>
      <c r="C52" s="125"/>
      <c r="D52" s="125"/>
    </row>
    <row r="53">
      <c r="A53" s="165" t="s">
        <v>317</v>
      </c>
      <c r="B53" s="126"/>
      <c r="C53" s="126"/>
      <c r="D53" s="126"/>
      <c r="E53" s="83">
        <v>45.0</v>
      </c>
      <c r="F53" s="83">
        <v>4.0</v>
      </c>
      <c r="G53" s="82" t="s">
        <v>176</v>
      </c>
      <c r="H53" s="84">
        <v>4.8</v>
      </c>
      <c r="I53" s="132"/>
      <c r="J53" s="86">
        <v>45839.0</v>
      </c>
      <c r="K53" s="95" t="s">
        <v>177</v>
      </c>
      <c r="L53" s="95" t="s">
        <v>178</v>
      </c>
      <c r="M53" s="37">
        <f>BB53+BZ53+DX53+ER53+FY53+GR53+CS53</f>
        <v>974760</v>
      </c>
      <c r="N53" s="37">
        <f>M53/H53</f>
        <v>203075</v>
      </c>
      <c r="O53" s="37">
        <f>BR53</f>
        <v>58333.33333</v>
      </c>
      <c r="P53" s="37">
        <f>O53/H53</f>
        <v>12152.77778</v>
      </c>
      <c r="Q53" s="37">
        <f>BD53+AJ53+CA53</f>
        <v>1555000</v>
      </c>
      <c r="R53" s="37">
        <f>Q53/H53</f>
        <v>323958.3333</v>
      </c>
      <c r="S53" s="37">
        <f>Q53-M53</f>
        <v>580240</v>
      </c>
      <c r="T53" s="37">
        <f>S53/H53</f>
        <v>120883.3333</v>
      </c>
      <c r="U53" s="38">
        <f>Q53-O53-M53</f>
        <v>521906.6667</v>
      </c>
      <c r="V53" s="38">
        <f>U53/H53</f>
        <v>108730.5556</v>
      </c>
      <c r="W53" s="95">
        <f>40*H53</f>
        <v>192</v>
      </c>
      <c r="X53" s="78"/>
      <c r="Y53" s="78"/>
      <c r="Z53" s="78"/>
      <c r="AA53" s="91">
        <v>192.5</v>
      </c>
      <c r="AB53" s="92">
        <f>AA53-W53</f>
        <v>0.5</v>
      </c>
      <c r="AC53" s="93">
        <f>ifs(AB53&lt;0,AB53*AF53,AB53&gt;0,0,AB53="","")</f>
        <v>0</v>
      </c>
      <c r="AD53" s="94">
        <f>IF(X53&lt;&gt;"", IFS(AB53&lt;0, AB53*AF53, AB53&gt;0, 0, AB53="", ""), 0)</f>
        <v>0</v>
      </c>
      <c r="AE53" s="159">
        <f>AA53/H53</f>
        <v>40.10416667</v>
      </c>
      <c r="AF53" s="95">
        <v>6000.0</v>
      </c>
      <c r="AG53" s="95">
        <f>(AA53*AF53)-(H53*40*6000)</f>
        <v>3000</v>
      </c>
      <c r="AH53" s="173">
        <v>45857.0</v>
      </c>
      <c r="AI53" s="78"/>
      <c r="AJ53" s="37">
        <f>AA53*AF53</f>
        <v>1155000</v>
      </c>
      <c r="AK53" s="37">
        <f>AJ53/H53</f>
        <v>240625</v>
      </c>
      <c r="AL53" s="95" t="s">
        <v>254</v>
      </c>
      <c r="AM53" s="95">
        <v>10.0</v>
      </c>
      <c r="AN53" s="95">
        <f>AM53/H53</f>
        <v>2.083333333</v>
      </c>
      <c r="AO53" s="95">
        <v>25000.0</v>
      </c>
      <c r="AP53" s="95">
        <v>10.0</v>
      </c>
      <c r="AQ53" s="95">
        <v>40000.0</v>
      </c>
      <c r="AR53" s="78"/>
      <c r="AS53" s="78"/>
      <c r="AT53" s="78"/>
      <c r="AU53" s="78"/>
      <c r="AV53" s="78"/>
      <c r="AW53" s="78"/>
      <c r="AX53" s="78"/>
      <c r="AY53" s="78"/>
      <c r="AZ53" s="78"/>
      <c r="BA53" s="95" t="s">
        <v>318</v>
      </c>
      <c r="BB53" s="37">
        <f>AM53*AO53+AR53+(AU53*AV53+AY53)</f>
        <v>250000</v>
      </c>
      <c r="BC53" s="37">
        <f>BB53/H53</f>
        <v>52083.33333</v>
      </c>
      <c r="BD53" s="37">
        <f>(AP53*AQ53)+AS53+(AW53*AX53)+AZ53</f>
        <v>400000</v>
      </c>
      <c r="BE53" s="37">
        <f>BD53/H53</f>
        <v>83333.33333</v>
      </c>
      <c r="BF53" s="95" t="s">
        <v>190</v>
      </c>
      <c r="BG53" s="95">
        <v>2.0</v>
      </c>
      <c r="BH53" s="95">
        <f>550000/6</f>
        <v>91666.66667</v>
      </c>
      <c r="BI53" s="95" t="s">
        <v>302</v>
      </c>
      <c r="BJ53" s="95">
        <v>1.0</v>
      </c>
      <c r="BK53" s="95">
        <f>650000/6</f>
        <v>108333.3333</v>
      </c>
      <c r="BL53" s="78"/>
      <c r="BM53" s="78"/>
      <c r="BN53" s="78"/>
      <c r="BO53" s="78"/>
      <c r="BP53" s="78"/>
      <c r="BQ53" s="78"/>
      <c r="BR53" s="37">
        <f>(BG53*BH53+BJ53*BK53+BM53*BN53+BP53*BQ53)/5</f>
        <v>58333.33333</v>
      </c>
      <c r="BS53" s="90"/>
      <c r="BT53" s="90"/>
      <c r="BU53" s="90"/>
      <c r="BV53" s="90"/>
      <c r="BW53" s="90"/>
      <c r="BX53" s="90"/>
      <c r="BY53" s="90"/>
      <c r="BZ53" s="37">
        <f t="shared" ref="BZ53:CA53" si="262">BT53+BW53</f>
        <v>0</v>
      </c>
      <c r="CA53" s="37">
        <f t="shared" si="262"/>
        <v>0</v>
      </c>
      <c r="CB53" s="95">
        <f>CC53*H53</f>
        <v>120000</v>
      </c>
      <c r="CC53" s="95">
        <v>25000.0</v>
      </c>
      <c r="CD53" s="95">
        <f>42240</f>
        <v>42240</v>
      </c>
      <c r="CE53" s="95">
        <f>CD53/H53</f>
        <v>8800</v>
      </c>
      <c r="CF53" s="95">
        <f>CG53*H53</f>
        <v>0</v>
      </c>
      <c r="CG53" s="95">
        <v>0.0</v>
      </c>
      <c r="CH53" s="95">
        <v>0.0</v>
      </c>
      <c r="CI53" s="95">
        <v>0.0</v>
      </c>
      <c r="CJ53" s="95">
        <v>0.0</v>
      </c>
      <c r="CK53" s="95">
        <v>0.0</v>
      </c>
      <c r="CL53" s="95">
        <v>0.0</v>
      </c>
      <c r="CM53" s="95">
        <v>0.0</v>
      </c>
      <c r="CN53" s="95">
        <v>0.0</v>
      </c>
      <c r="CO53" s="95">
        <v>1400.0</v>
      </c>
      <c r="CP53" s="87">
        <f>CO53*AA53</f>
        <v>269500</v>
      </c>
      <c r="CQ53" s="87">
        <f>CP53/H53</f>
        <v>56145.83333</v>
      </c>
      <c r="CR53" s="78"/>
      <c r="CS53" s="37">
        <f>CB53+CD53+CF53+CH53+CI53+CK53+CL53+CM53+CN53</f>
        <v>162240</v>
      </c>
      <c r="CT53" s="95" t="s">
        <v>225</v>
      </c>
      <c r="CU53" s="95" t="s">
        <v>213</v>
      </c>
      <c r="CV53" s="95">
        <v>17.0</v>
      </c>
      <c r="CW53" s="136">
        <v>45756.0</v>
      </c>
      <c r="CX53" s="78"/>
      <c r="CY53" s="78"/>
      <c r="CZ53" s="78"/>
      <c r="DA53" s="173">
        <v>45857.0</v>
      </c>
      <c r="DB53" s="78"/>
      <c r="DC53" s="78"/>
      <c r="DD53" s="78"/>
      <c r="DE53" s="78"/>
      <c r="DF53" s="78"/>
      <c r="DG53" s="173">
        <v>45857.0</v>
      </c>
      <c r="DH53" s="78"/>
      <c r="DI53" s="78"/>
      <c r="DJ53" s="95" t="s">
        <v>227</v>
      </c>
      <c r="DK53" s="95">
        <f>(40*H53)+40</f>
        <v>232</v>
      </c>
      <c r="DL53" s="95">
        <f>DK53/H53</f>
        <v>48.33333333</v>
      </c>
      <c r="DM53" s="95">
        <v>2360.0</v>
      </c>
      <c r="DN53" s="95" t="s">
        <v>215</v>
      </c>
      <c r="DO53" s="95">
        <f>1.5*2</f>
        <v>3</v>
      </c>
      <c r="DP53" s="95">
        <v>0.0</v>
      </c>
      <c r="DQ53" s="95" t="s">
        <v>319</v>
      </c>
      <c r="DR53" s="95">
        <f>1.5*1</f>
        <v>1.5</v>
      </c>
      <c r="DS53" s="95">
        <v>10000.0</v>
      </c>
      <c r="DT53" s="95">
        <f>(DK53+DO53+DR53)/H53</f>
        <v>49.27083333</v>
      </c>
      <c r="DU53" s="95">
        <v>4.0</v>
      </c>
      <c r="DV53" s="95">
        <v>2.0</v>
      </c>
      <c r="DW53" s="78"/>
      <c r="DX53" s="37">
        <f>DK53*DM53+DP53*DO53+DS53*DR53</f>
        <v>562520</v>
      </c>
      <c r="DY53" s="37">
        <f>DX53/H53</f>
        <v>117191.6667</v>
      </c>
      <c r="DZ53" s="78"/>
      <c r="EA53" s="78"/>
      <c r="EB53" s="95">
        <f>EA53/H53</f>
        <v>0</v>
      </c>
      <c r="EC53" s="78"/>
      <c r="ED53" s="78"/>
      <c r="EE53" s="78"/>
      <c r="EF53" s="95">
        <f>EE53/H53</f>
        <v>0</v>
      </c>
      <c r="EG53" s="78"/>
      <c r="EH53" s="78"/>
      <c r="EI53" s="78"/>
      <c r="EJ53" s="95">
        <f>EI53/H53</f>
        <v>0</v>
      </c>
      <c r="EK53" s="78"/>
      <c r="EL53" s="78"/>
      <c r="EM53" s="78"/>
      <c r="EN53" s="78"/>
      <c r="EO53" s="78"/>
      <c r="EP53" s="78"/>
      <c r="EQ53" s="78"/>
      <c r="ER53" s="168">
        <f>EC53+EG53+EK53+EN53</f>
        <v>0</v>
      </c>
      <c r="ES53" s="168">
        <f>ER53/H53</f>
        <v>0</v>
      </c>
      <c r="ET53" s="95" t="s">
        <v>217</v>
      </c>
      <c r="EU53" s="95">
        <v>2.0</v>
      </c>
      <c r="EV53" s="95">
        <v>0.0</v>
      </c>
      <c r="EW53" s="95">
        <f>1.5*2</f>
        <v>3</v>
      </c>
      <c r="EX53" s="95">
        <v>2.0</v>
      </c>
      <c r="EY53" s="95">
        <v>0.0</v>
      </c>
      <c r="EZ53" s="78"/>
      <c r="FA53" s="78"/>
      <c r="FB53" s="78"/>
      <c r="FC53" s="78"/>
      <c r="FD53" s="78"/>
      <c r="FE53" s="78"/>
      <c r="FF53" s="78"/>
      <c r="FG53" s="78"/>
      <c r="FH53" s="78"/>
      <c r="FI53" s="78"/>
      <c r="FJ53" s="78"/>
      <c r="FK53" s="78"/>
      <c r="FL53" s="78"/>
      <c r="FM53" s="78"/>
      <c r="FN53" s="78"/>
      <c r="FO53" s="78"/>
      <c r="FP53" s="78"/>
      <c r="FQ53" s="78"/>
      <c r="FR53" s="78"/>
      <c r="FS53" s="78"/>
      <c r="FT53" s="78"/>
      <c r="FU53" s="78"/>
      <c r="FV53" s="78"/>
      <c r="FW53" s="78"/>
      <c r="FX53" s="78"/>
      <c r="FY53" s="37">
        <f>EV53+FB53+FH53+FN53+FT53</f>
        <v>0</v>
      </c>
      <c r="FZ53" s="37">
        <f>FY53/H53</f>
        <v>0</v>
      </c>
      <c r="GA53" s="78"/>
      <c r="GB53" s="78"/>
      <c r="GC53" s="78"/>
      <c r="GD53" s="78"/>
      <c r="GE53" s="78"/>
      <c r="GF53" s="78"/>
      <c r="GG53" s="78"/>
      <c r="GH53" s="78"/>
      <c r="GI53" s="78"/>
      <c r="GJ53" s="78"/>
      <c r="GK53" s="78"/>
      <c r="GL53" s="78"/>
      <c r="GM53" s="78"/>
      <c r="GN53" s="78"/>
      <c r="GO53" s="78"/>
      <c r="GP53" s="78"/>
      <c r="GQ53" s="78"/>
      <c r="GR53" s="98">
        <f>GB53*GC53+GH53*GI53+GN53*GO53</f>
        <v>0</v>
      </c>
      <c r="GS53" s="98">
        <f>GR53/H53</f>
        <v>0</v>
      </c>
      <c r="GT53" s="95" t="s">
        <v>194</v>
      </c>
      <c r="GU53" s="78"/>
      <c r="GV53" s="78"/>
      <c r="GW53" s="78"/>
      <c r="GX53" s="78"/>
      <c r="GY53" s="78"/>
      <c r="GZ53" s="78"/>
      <c r="HA53" s="78"/>
      <c r="HB53" s="78"/>
      <c r="HC53" s="78"/>
      <c r="HD53" s="78"/>
      <c r="HE53" s="78"/>
      <c r="HF53" s="78"/>
      <c r="HG53" s="169">
        <v>40.0</v>
      </c>
      <c r="HH53" s="169" t="s">
        <v>260</v>
      </c>
      <c r="HI53" s="106"/>
      <c r="HJ53" s="163" t="s">
        <v>296</v>
      </c>
      <c r="HK53" s="154">
        <v>6.0</v>
      </c>
      <c r="HL53" s="170" t="s">
        <v>307</v>
      </c>
    </row>
    <row r="54">
      <c r="A54" s="113" t="s">
        <v>320</v>
      </c>
      <c r="B54" s="125"/>
      <c r="C54" s="125"/>
      <c r="D54" s="125"/>
    </row>
    <row r="55">
      <c r="A55" s="165" t="s">
        <v>321</v>
      </c>
      <c r="B55" s="166"/>
      <c r="C55" s="166"/>
      <c r="D55" s="166"/>
      <c r="E55" s="83">
        <v>46.0</v>
      </c>
      <c r="F55" s="132"/>
      <c r="G55" s="82" t="s">
        <v>176</v>
      </c>
      <c r="H55" s="84">
        <v>3.45</v>
      </c>
      <c r="I55" s="132"/>
      <c r="J55" s="86">
        <v>45841.0</v>
      </c>
      <c r="K55" s="95" t="s">
        <v>177</v>
      </c>
      <c r="L55" s="95" t="s">
        <v>178</v>
      </c>
      <c r="M55" s="37">
        <f>BB55+BZ55+DX55+ER55+FY55+GR55+CS55</f>
        <v>733060</v>
      </c>
      <c r="N55" s="37">
        <f>M55/H55</f>
        <v>212481.1594</v>
      </c>
      <c r="O55" s="37">
        <f>BR55</f>
        <v>58333.33333</v>
      </c>
      <c r="P55" s="37">
        <f>O55/H55</f>
        <v>16908.21256</v>
      </c>
      <c r="Q55" s="37">
        <f>BD55+AJ55+CA55</f>
        <v>436000</v>
      </c>
      <c r="R55" s="37">
        <f>Q55/H55</f>
        <v>126376.8116</v>
      </c>
      <c r="S55" s="37">
        <f>Q55-M55</f>
        <v>-297060</v>
      </c>
      <c r="T55" s="37">
        <f>S55/H55</f>
        <v>-86104.34783</v>
      </c>
      <c r="U55" s="44">
        <f>Q55-O55-M55</f>
        <v>-355393.3333</v>
      </c>
      <c r="V55" s="44">
        <f>U55/H55</f>
        <v>-103012.5604</v>
      </c>
      <c r="W55" s="95">
        <f>40*H55</f>
        <v>138</v>
      </c>
      <c r="X55" s="78"/>
      <c r="Y55" s="78"/>
      <c r="Z55" s="78"/>
      <c r="AA55" s="91">
        <v>26.0</v>
      </c>
      <c r="AB55" s="104">
        <f>AA55-W55</f>
        <v>-112</v>
      </c>
      <c r="AC55" s="104">
        <f>ifs(AB55&lt;0,AB55*AF55,AB55&gt;0,0,AB55="","")</f>
        <v>-672000</v>
      </c>
      <c r="AD55" s="94">
        <f>IF(X55&lt;&gt;"", IFS(AB55&lt;0, AB55*AF55, AB55&gt;0, 0, AB55="", ""), 0)</f>
        <v>0</v>
      </c>
      <c r="AE55" s="171">
        <f>AA55/H55</f>
        <v>7.536231884</v>
      </c>
      <c r="AF55" s="95">
        <v>6000.0</v>
      </c>
      <c r="AG55" s="95">
        <f>(AA55*AF55)-(H55*40*6000)</f>
        <v>-672000</v>
      </c>
      <c r="AH55" s="173">
        <v>45861.0</v>
      </c>
      <c r="AI55" s="78"/>
      <c r="AJ55" s="37">
        <f>AA55*AF55</f>
        <v>156000</v>
      </c>
      <c r="AK55" s="37">
        <f>AJ55/H55</f>
        <v>45217.3913</v>
      </c>
      <c r="AL55" s="95" t="s">
        <v>254</v>
      </c>
      <c r="AM55" s="95">
        <v>7.0</v>
      </c>
      <c r="AN55" s="95">
        <f>AM55/H55</f>
        <v>2.028985507</v>
      </c>
      <c r="AO55" s="95">
        <v>25000.0</v>
      </c>
      <c r="AP55" s="95">
        <v>7.0</v>
      </c>
      <c r="AQ55" s="95">
        <v>40000.0</v>
      </c>
      <c r="AR55" s="78"/>
      <c r="AS55" s="78"/>
      <c r="AT55" s="78"/>
      <c r="AU55" s="78"/>
      <c r="AV55" s="78"/>
      <c r="AW55" s="78"/>
      <c r="AX55" s="78"/>
      <c r="AY55" s="78"/>
      <c r="AZ55" s="78"/>
      <c r="BA55" s="95" t="s">
        <v>318</v>
      </c>
      <c r="BB55" s="37">
        <f>AM55*AO55+AR55+(AU55*AV55+AY55)</f>
        <v>175000</v>
      </c>
      <c r="BC55" s="37">
        <f>BB55/H55</f>
        <v>50724.63768</v>
      </c>
      <c r="BD55" s="37">
        <f>(AP55*AQ55)+AS55+(AW55*AX55)+AZ55</f>
        <v>280000</v>
      </c>
      <c r="BE55" s="37">
        <f>BD55/H55</f>
        <v>81159.42029</v>
      </c>
      <c r="BF55" s="95" t="s">
        <v>190</v>
      </c>
      <c r="BG55" s="95">
        <v>2.0</v>
      </c>
      <c r="BH55" s="95">
        <f>550000/6</f>
        <v>91666.66667</v>
      </c>
      <c r="BI55" s="95" t="s">
        <v>302</v>
      </c>
      <c r="BJ55" s="95">
        <v>1.0</v>
      </c>
      <c r="BK55" s="95">
        <f>650000/6</f>
        <v>108333.3333</v>
      </c>
      <c r="BL55" s="78"/>
      <c r="BM55" s="78"/>
      <c r="BN55" s="78"/>
      <c r="BO55" s="78"/>
      <c r="BP55" s="78"/>
      <c r="BQ55" s="78"/>
      <c r="BR55" s="37">
        <f>(BG55*BH55+BJ55*BK55+BM55*BN55+BP55*BQ55)/5</f>
        <v>58333.33333</v>
      </c>
      <c r="BS55" s="87" t="s">
        <v>219</v>
      </c>
      <c r="BT55" s="98">
        <v>3000.0</v>
      </c>
      <c r="BU55" s="98">
        <v>0.0</v>
      </c>
      <c r="BV55" s="98" t="s">
        <v>208</v>
      </c>
      <c r="BW55" s="98">
        <v>1000.0</v>
      </c>
      <c r="BX55" s="98">
        <v>0.0</v>
      </c>
      <c r="BY55" s="90"/>
      <c r="BZ55" s="37">
        <f t="shared" ref="BZ55:CA55" si="263">BT55+BW55</f>
        <v>4000</v>
      </c>
      <c r="CA55" s="37">
        <f t="shared" si="263"/>
        <v>0</v>
      </c>
      <c r="CB55" s="95">
        <f>CC55*H55</f>
        <v>86250</v>
      </c>
      <c r="CC55" s="95">
        <v>25000.0</v>
      </c>
      <c r="CD55" s="95">
        <v>30360.0</v>
      </c>
      <c r="CE55" s="95">
        <f>CD55/H55</f>
        <v>8800</v>
      </c>
      <c r="CF55" s="87">
        <f>CG55*H55</f>
        <v>72450</v>
      </c>
      <c r="CG55" s="95">
        <v>21000.0</v>
      </c>
      <c r="CH55" s="95">
        <v>0.0</v>
      </c>
      <c r="CI55" s="95">
        <v>0.0</v>
      </c>
      <c r="CJ55" s="95">
        <v>0.0</v>
      </c>
      <c r="CK55" s="95">
        <v>0.0</v>
      </c>
      <c r="CL55" s="95">
        <v>0.0</v>
      </c>
      <c r="CM55" s="95">
        <v>0.0</v>
      </c>
      <c r="CN55" s="95">
        <v>0.0</v>
      </c>
      <c r="CO55" s="95">
        <v>2320.0</v>
      </c>
      <c r="CP55" s="87">
        <f>CO55*AA55</f>
        <v>60320</v>
      </c>
      <c r="CQ55" s="87">
        <f>CP55/H55</f>
        <v>17484.05797</v>
      </c>
      <c r="CR55" s="78"/>
      <c r="CS55" s="37">
        <f>CB55+CD55+CF55+CH55+CI55+CK55+CL55+CM55+CN55</f>
        <v>189060</v>
      </c>
      <c r="CT55" s="95" t="s">
        <v>225</v>
      </c>
      <c r="CU55" s="95" t="s">
        <v>213</v>
      </c>
      <c r="CV55" s="95">
        <v>22.0</v>
      </c>
      <c r="CW55" s="136">
        <v>45766.0</v>
      </c>
      <c r="CX55" s="78"/>
      <c r="CY55" s="78"/>
      <c r="CZ55" s="78"/>
      <c r="DA55" s="173">
        <v>45861.0</v>
      </c>
      <c r="DB55" s="95" t="s">
        <v>322</v>
      </c>
      <c r="DC55" s="78"/>
      <c r="DD55" s="78"/>
      <c r="DE55" s="78"/>
      <c r="DF55" s="78"/>
      <c r="DG55" s="167"/>
      <c r="DH55" s="78"/>
      <c r="DI55" s="78"/>
      <c r="DJ55" s="95" t="s">
        <v>227</v>
      </c>
      <c r="DK55" s="95">
        <v>140.0</v>
      </c>
      <c r="DL55" s="95">
        <f>DK55/H55</f>
        <v>40.57971014</v>
      </c>
      <c r="DM55" s="95">
        <v>2500.0</v>
      </c>
      <c r="DN55" s="95" t="s">
        <v>215</v>
      </c>
      <c r="DO55" s="95">
        <f>1.5*3</f>
        <v>4.5</v>
      </c>
      <c r="DP55" s="95">
        <v>0.0</v>
      </c>
      <c r="DQ55" s="95" t="s">
        <v>319</v>
      </c>
      <c r="DR55" s="95">
        <f>1.5*1</f>
        <v>1.5</v>
      </c>
      <c r="DS55" s="95">
        <v>10000.0</v>
      </c>
      <c r="DT55" s="95">
        <f>(DK55+DO55+DR55)/H55</f>
        <v>42.31884058</v>
      </c>
      <c r="DU55" s="95">
        <v>3.0</v>
      </c>
      <c r="DV55" s="95">
        <v>2.0</v>
      </c>
      <c r="DW55" s="78"/>
      <c r="DX55" s="37">
        <f>DK55*DM55+DP55*DO55+DS55*DR55</f>
        <v>365000</v>
      </c>
      <c r="DY55" s="37">
        <f>DX55/H55</f>
        <v>105797.1014</v>
      </c>
      <c r="DZ55" s="78"/>
      <c r="EA55" s="78"/>
      <c r="EB55" s="95">
        <f>EA55/H55</f>
        <v>0</v>
      </c>
      <c r="EC55" s="78"/>
      <c r="ED55" s="78"/>
      <c r="EE55" s="78"/>
      <c r="EF55" s="95">
        <f>EE55/H55</f>
        <v>0</v>
      </c>
      <c r="EG55" s="78"/>
      <c r="EH55" s="78"/>
      <c r="EI55" s="78"/>
      <c r="EJ55" s="95">
        <f>EI55/H55</f>
        <v>0</v>
      </c>
      <c r="EK55" s="78"/>
      <c r="EL55" s="78"/>
      <c r="EM55" s="78"/>
      <c r="EN55" s="78"/>
      <c r="EO55" s="78"/>
      <c r="EP55" s="78"/>
      <c r="EQ55" s="78"/>
      <c r="ER55" s="168">
        <f>EC55+EG55+EK55+EN55</f>
        <v>0</v>
      </c>
      <c r="ES55" s="168">
        <f>ER55/H55</f>
        <v>0</v>
      </c>
      <c r="ET55" s="95" t="s">
        <v>217</v>
      </c>
      <c r="EU55" s="95">
        <v>3.0</v>
      </c>
      <c r="EV55" s="95">
        <v>0.0</v>
      </c>
      <c r="EW55" s="95">
        <f>1.5*3</f>
        <v>4.5</v>
      </c>
      <c r="EX55" s="95">
        <v>2.0</v>
      </c>
      <c r="EY55" s="95">
        <v>1.0</v>
      </c>
      <c r="EZ55" s="78"/>
      <c r="FA55" s="78"/>
      <c r="FB55" s="78"/>
      <c r="FC55" s="78"/>
      <c r="FD55" s="78"/>
      <c r="FE55" s="78"/>
      <c r="FF55" s="78"/>
      <c r="FG55" s="78"/>
      <c r="FH55" s="78"/>
      <c r="FI55" s="78"/>
      <c r="FJ55" s="78"/>
      <c r="FK55" s="78"/>
      <c r="FL55" s="78"/>
      <c r="FM55" s="78"/>
      <c r="FN55" s="78"/>
      <c r="FO55" s="78"/>
      <c r="FP55" s="78"/>
      <c r="FQ55" s="78"/>
      <c r="FR55" s="78"/>
      <c r="FS55" s="78"/>
      <c r="FT55" s="78"/>
      <c r="FU55" s="78"/>
      <c r="FV55" s="78"/>
      <c r="FW55" s="78"/>
      <c r="FX55" s="78"/>
      <c r="FY55" s="37">
        <f>EV55+FB55+FH55+FN55+FT55</f>
        <v>0</v>
      </c>
      <c r="FZ55" s="37">
        <f>FY55/H55</f>
        <v>0</v>
      </c>
      <c r="GA55" s="78"/>
      <c r="GB55" s="78"/>
      <c r="GC55" s="78"/>
      <c r="GD55" s="78"/>
      <c r="GE55" s="78"/>
      <c r="GF55" s="78"/>
      <c r="GG55" s="78"/>
      <c r="GH55" s="78"/>
      <c r="GI55" s="78"/>
      <c r="GJ55" s="78"/>
      <c r="GK55" s="78"/>
      <c r="GL55" s="78"/>
      <c r="GM55" s="78"/>
      <c r="GN55" s="78"/>
      <c r="GO55" s="78"/>
      <c r="GP55" s="78"/>
      <c r="GQ55" s="78"/>
      <c r="GR55" s="98">
        <f>GB55*GC55+GH55*GI55+GN55*GO55</f>
        <v>0</v>
      </c>
      <c r="GS55" s="98">
        <f>GR55/H55</f>
        <v>0</v>
      </c>
      <c r="GT55" s="78"/>
      <c r="GU55" s="95" t="s">
        <v>208</v>
      </c>
      <c r="GV55" s="95" t="s">
        <v>219</v>
      </c>
      <c r="GW55" s="78"/>
      <c r="GX55" s="78"/>
      <c r="GY55" s="78"/>
      <c r="GZ55" s="78"/>
      <c r="HA55" s="78"/>
      <c r="HB55" s="78"/>
      <c r="HC55" s="78"/>
      <c r="HD55" s="78"/>
      <c r="HE55" s="78"/>
      <c r="HF55" s="78"/>
      <c r="HG55" s="169">
        <v>40.0</v>
      </c>
      <c r="HH55" s="169" t="s">
        <v>260</v>
      </c>
      <c r="HI55" s="106"/>
      <c r="HJ55" s="163" t="s">
        <v>296</v>
      </c>
      <c r="HK55" s="154">
        <v>7.0</v>
      </c>
      <c r="HL55" s="170" t="s">
        <v>307</v>
      </c>
    </row>
    <row r="56">
      <c r="A56" s="113" t="s">
        <v>323</v>
      </c>
      <c r="B56" s="172"/>
      <c r="C56" s="172"/>
      <c r="D56" s="172"/>
    </row>
    <row r="57">
      <c r="A57" s="165" t="s">
        <v>324</v>
      </c>
      <c r="B57" s="166"/>
      <c r="C57" s="166"/>
      <c r="D57" s="166"/>
      <c r="E57" s="83">
        <v>47.0</v>
      </c>
      <c r="F57" s="132"/>
      <c r="G57" s="82" t="s">
        <v>176</v>
      </c>
      <c r="H57" s="84">
        <v>1.92</v>
      </c>
      <c r="I57" s="132"/>
      <c r="J57" s="86">
        <v>45857.0</v>
      </c>
      <c r="K57" s="95" t="s">
        <v>177</v>
      </c>
      <c r="L57" s="95" t="s">
        <v>178</v>
      </c>
      <c r="M57" s="37">
        <f>BB57+BZ57+DX57+ER57+FY57+GR57+CS57</f>
        <v>456868.8</v>
      </c>
      <c r="N57" s="37">
        <f>M57/H57</f>
        <v>237952.5</v>
      </c>
      <c r="O57" s="37">
        <f>BR57</f>
        <v>30833.33333</v>
      </c>
      <c r="P57" s="37">
        <f>O57/H57</f>
        <v>16059.02778</v>
      </c>
      <c r="Q57" s="37">
        <f>BD57+AJ57+CA57</f>
        <v>289000</v>
      </c>
      <c r="R57" s="37">
        <f>Q57/H57</f>
        <v>150520.8333</v>
      </c>
      <c r="S57" s="37">
        <f>Q57-M57</f>
        <v>-167868.8</v>
      </c>
      <c r="T57" s="37">
        <f>S57/H57</f>
        <v>-87431.66667</v>
      </c>
      <c r="U57" s="44">
        <f>Q57-O57-M57</f>
        <v>-198702.1333</v>
      </c>
      <c r="V57" s="44">
        <f>U57/H57</f>
        <v>-103490.6944</v>
      </c>
      <c r="W57" s="95">
        <f>40*H57</f>
        <v>76.8</v>
      </c>
      <c r="X57" s="174"/>
      <c r="Y57" s="78"/>
      <c r="Z57" s="78"/>
      <c r="AA57" s="91">
        <v>21.5</v>
      </c>
      <c r="AB57" s="104">
        <f>AA57-W57</f>
        <v>-55.3</v>
      </c>
      <c r="AC57" s="104">
        <f>ifs(AB57&lt;0,AB57*AF57,AB57&gt;0,0,AB57="","")</f>
        <v>-331800</v>
      </c>
      <c r="AD57" s="94">
        <f>IF(X57&lt;&gt;"", IFS(AB57&lt;0, AB57*AF57, AB57&gt;0, 0, AB57="", ""), 0)</f>
        <v>0</v>
      </c>
      <c r="AE57" s="171">
        <f>AA57/H57</f>
        <v>11.19791667</v>
      </c>
      <c r="AF57" s="95">
        <v>6000.0</v>
      </c>
      <c r="AG57" s="95">
        <f>(AA57*AF57)-(H57*40*6000)</f>
        <v>-331800</v>
      </c>
      <c r="AH57" s="173">
        <v>45857.0</v>
      </c>
      <c r="AI57" s="78"/>
      <c r="AJ57" s="37">
        <f>AA57*AF57</f>
        <v>129000</v>
      </c>
      <c r="AK57" s="37">
        <f>AJ57/H57</f>
        <v>67187.5</v>
      </c>
      <c r="AL57" s="95" t="s">
        <v>254</v>
      </c>
      <c r="AM57" s="95">
        <v>4.0</v>
      </c>
      <c r="AN57" s="95">
        <f>AM57/H57</f>
        <v>2.083333333</v>
      </c>
      <c r="AO57" s="95">
        <v>25000.0</v>
      </c>
      <c r="AP57" s="95">
        <v>4.0</v>
      </c>
      <c r="AQ57" s="95">
        <v>40000.0</v>
      </c>
      <c r="AR57" s="78"/>
      <c r="AS57" s="78"/>
      <c r="AT57" s="78"/>
      <c r="AU57" s="78"/>
      <c r="AV57" s="78"/>
      <c r="AW57" s="78"/>
      <c r="AX57" s="78"/>
      <c r="AY57" s="78"/>
      <c r="AZ57" s="78"/>
      <c r="BA57" s="95" t="s">
        <v>318</v>
      </c>
      <c r="BB57" s="37">
        <f>AM57*AO57+AR57+(AU57*AV57+AY57)</f>
        <v>100000</v>
      </c>
      <c r="BC57" s="37">
        <f>BB57/H57</f>
        <v>52083.33333</v>
      </c>
      <c r="BD57" s="37">
        <f>(AP57*AQ57)+AS57+(AW57*AX57)+AZ57</f>
        <v>160000</v>
      </c>
      <c r="BE57" s="37">
        <f>BD57/H57</f>
        <v>83333.33333</v>
      </c>
      <c r="BF57" s="95" t="s">
        <v>190</v>
      </c>
      <c r="BG57" s="95">
        <v>1.0</v>
      </c>
      <c r="BH57" s="95">
        <f>275000/6</f>
        <v>45833.33333</v>
      </c>
      <c r="BI57" s="95" t="s">
        <v>302</v>
      </c>
      <c r="BJ57" s="95">
        <v>1.0</v>
      </c>
      <c r="BK57" s="95">
        <f>650000/6</f>
        <v>108333.3333</v>
      </c>
      <c r="BL57" s="78"/>
      <c r="BM57" s="78"/>
      <c r="BN57" s="78"/>
      <c r="BO57" s="78"/>
      <c r="BP57" s="78"/>
      <c r="BQ57" s="78"/>
      <c r="BR57" s="37">
        <f>(BG57*BH57+BJ57*BK57+BM57*BN57+BP57*BQ57)/5</f>
        <v>30833.33333</v>
      </c>
      <c r="BS57" s="87" t="s">
        <v>219</v>
      </c>
      <c r="BT57" s="98">
        <v>4000.0</v>
      </c>
      <c r="BU57" s="98">
        <v>0.0</v>
      </c>
      <c r="BV57" s="98" t="s">
        <v>208</v>
      </c>
      <c r="BW57" s="98">
        <v>1000.0</v>
      </c>
      <c r="BX57" s="98">
        <v>0.0</v>
      </c>
      <c r="BY57" s="90"/>
      <c r="BZ57" s="37">
        <f t="shared" ref="BZ57:CA57" si="264">BT57+BW57</f>
        <v>5000</v>
      </c>
      <c r="CA57" s="37">
        <f t="shared" si="264"/>
        <v>0</v>
      </c>
      <c r="CB57" s="95">
        <v>50000.0</v>
      </c>
      <c r="CC57" s="95">
        <f>CB57/H57</f>
        <v>26041.66667</v>
      </c>
      <c r="CD57" s="95">
        <v>16896.0</v>
      </c>
      <c r="CE57" s="95">
        <f>CD57/H57</f>
        <v>8800</v>
      </c>
      <c r="CF57" s="95">
        <f>CG57*H57</f>
        <v>0</v>
      </c>
      <c r="CG57" s="95">
        <v>0.0</v>
      </c>
      <c r="CH57" s="95">
        <v>0.0</v>
      </c>
      <c r="CI57" s="95">
        <v>70000.0</v>
      </c>
      <c r="CJ57" s="95">
        <v>0.0</v>
      </c>
      <c r="CK57" s="95">
        <v>0.0</v>
      </c>
      <c r="CL57" s="95">
        <v>0.0</v>
      </c>
      <c r="CM57" s="95">
        <v>0.0</v>
      </c>
      <c r="CN57" s="95">
        <v>0.0</v>
      </c>
      <c r="CO57" s="95">
        <v>1400.0</v>
      </c>
      <c r="CP57" s="87">
        <f>CO57*AA57</f>
        <v>30100</v>
      </c>
      <c r="CQ57" s="87">
        <f>CP57/H57</f>
        <v>15677.08333</v>
      </c>
      <c r="CR57" s="78"/>
      <c r="CS57" s="37">
        <f>CB57+CD57+CF57+CH57+CI57+CK57+CL57+CM57+CN57</f>
        <v>136896</v>
      </c>
      <c r="CT57" s="95" t="s">
        <v>225</v>
      </c>
      <c r="CU57" s="95" t="s">
        <v>213</v>
      </c>
      <c r="CV57" s="95">
        <v>14.0</v>
      </c>
      <c r="CW57" s="78"/>
      <c r="CX57" s="78"/>
      <c r="CY57" s="78"/>
      <c r="CZ57" s="78"/>
      <c r="DA57" s="173">
        <v>45857.0</v>
      </c>
      <c r="DB57" s="95" t="s">
        <v>322</v>
      </c>
      <c r="DC57" s="78"/>
      <c r="DD57" s="78"/>
      <c r="DE57" s="78"/>
      <c r="DF57" s="78"/>
      <c r="DG57" s="173">
        <v>45857.0</v>
      </c>
      <c r="DH57" s="78"/>
      <c r="DI57" s="78"/>
      <c r="DJ57" s="95" t="s">
        <v>227</v>
      </c>
      <c r="DK57" s="95">
        <v>77.15</v>
      </c>
      <c r="DL57" s="95">
        <f>DK57/H57</f>
        <v>40.18229167</v>
      </c>
      <c r="DM57" s="95">
        <v>2592.0</v>
      </c>
      <c r="DN57" s="95" t="s">
        <v>215</v>
      </c>
      <c r="DO57" s="95">
        <f>1.5*2</f>
        <v>3</v>
      </c>
      <c r="DP57" s="95">
        <v>0.0</v>
      </c>
      <c r="DQ57" s="95" t="s">
        <v>319</v>
      </c>
      <c r="DR57" s="95">
        <f>1.5*1</f>
        <v>1.5</v>
      </c>
      <c r="DS57" s="95">
        <v>10000.0</v>
      </c>
      <c r="DT57" s="95">
        <f>(DK57+DO57+DR57)/H57</f>
        <v>42.52604167</v>
      </c>
      <c r="DU57" s="95">
        <v>3.0</v>
      </c>
      <c r="DV57" s="95">
        <v>1.0</v>
      </c>
      <c r="DW57" s="78"/>
      <c r="DX57" s="37">
        <f>DK57*DM57+DP57*DO57+DS57*DR57</f>
        <v>214972.8</v>
      </c>
      <c r="DY57" s="37">
        <f>DX57/H57</f>
        <v>111965</v>
      </c>
      <c r="DZ57" s="78"/>
      <c r="EA57" s="78"/>
      <c r="EB57" s="95">
        <f>EA57/H57</f>
        <v>0</v>
      </c>
      <c r="EC57" s="78"/>
      <c r="ED57" s="78"/>
      <c r="EE57" s="78"/>
      <c r="EF57" s="95">
        <f>EE57/H57</f>
        <v>0</v>
      </c>
      <c r="EG57" s="78"/>
      <c r="EH57" s="78"/>
      <c r="EI57" s="78"/>
      <c r="EJ57" s="95">
        <f>EI57/H57</f>
        <v>0</v>
      </c>
      <c r="EK57" s="78"/>
      <c r="EL57" s="78"/>
      <c r="EM57" s="78"/>
      <c r="EN57" s="78"/>
      <c r="EO57" s="78"/>
      <c r="EP57" s="78"/>
      <c r="EQ57" s="78"/>
      <c r="ER57" s="168">
        <f>EC57+EG57+EK57+EN57</f>
        <v>0</v>
      </c>
      <c r="ES57" s="168">
        <f>ER57/H57</f>
        <v>0</v>
      </c>
      <c r="ET57" s="95" t="s">
        <v>217</v>
      </c>
      <c r="EU57" s="95">
        <v>1.0</v>
      </c>
      <c r="EV57" s="95">
        <v>0.0</v>
      </c>
      <c r="EW57" s="95">
        <f>1.5*1</f>
        <v>1.5</v>
      </c>
      <c r="EX57" s="95">
        <v>1.0</v>
      </c>
      <c r="EY57" s="95">
        <v>0.0</v>
      </c>
      <c r="EZ57" s="78"/>
      <c r="FA57" s="78"/>
      <c r="FB57" s="78"/>
      <c r="FC57" s="78"/>
      <c r="FD57" s="78"/>
      <c r="FE57" s="78"/>
      <c r="FF57" s="78"/>
      <c r="FG57" s="78"/>
      <c r="FH57" s="78"/>
      <c r="FI57" s="78"/>
      <c r="FJ57" s="78"/>
      <c r="FK57" s="78"/>
      <c r="FL57" s="78"/>
      <c r="FM57" s="78"/>
      <c r="FN57" s="78"/>
      <c r="FO57" s="78"/>
      <c r="FP57" s="78"/>
      <c r="FQ57" s="78"/>
      <c r="FR57" s="78"/>
      <c r="FS57" s="78"/>
      <c r="FT57" s="78"/>
      <c r="FU57" s="78"/>
      <c r="FV57" s="78"/>
      <c r="FW57" s="78"/>
      <c r="FX57" s="78"/>
      <c r="FY57" s="37">
        <f>EV57+FB57+FH57+FN57+FT57</f>
        <v>0</v>
      </c>
      <c r="FZ57" s="37">
        <f>FY57/H57</f>
        <v>0</v>
      </c>
      <c r="GA57" s="78"/>
      <c r="GB57" s="78"/>
      <c r="GC57" s="78"/>
      <c r="GD57" s="78"/>
      <c r="GE57" s="78"/>
      <c r="GF57" s="78"/>
      <c r="GG57" s="78"/>
      <c r="GH57" s="78"/>
      <c r="GI57" s="78"/>
      <c r="GJ57" s="78"/>
      <c r="GK57" s="78"/>
      <c r="GL57" s="78"/>
      <c r="GM57" s="78"/>
      <c r="GN57" s="78"/>
      <c r="GO57" s="78"/>
      <c r="GP57" s="78"/>
      <c r="GQ57" s="78"/>
      <c r="GR57" s="98">
        <f>GB57*GC57+GH57*GI57+GN57*GO57</f>
        <v>0</v>
      </c>
      <c r="GS57" s="98">
        <f>GR57/H57</f>
        <v>0</v>
      </c>
      <c r="GT57" s="95" t="s">
        <v>194</v>
      </c>
      <c r="GU57" s="95" t="s">
        <v>208</v>
      </c>
      <c r="GV57" s="95" t="s">
        <v>219</v>
      </c>
      <c r="GW57" s="78"/>
      <c r="GX57" s="95" t="s">
        <v>294</v>
      </c>
      <c r="GY57" s="95" t="s">
        <v>295</v>
      </c>
      <c r="GZ57" s="78"/>
      <c r="HA57" s="78"/>
      <c r="HB57" s="78"/>
      <c r="HC57" s="78"/>
      <c r="HD57" s="78"/>
      <c r="HE57" s="78"/>
      <c r="HF57" s="78"/>
      <c r="HG57" s="169">
        <v>40.0</v>
      </c>
      <c r="HH57" s="169" t="s">
        <v>260</v>
      </c>
      <c r="HI57" s="106"/>
      <c r="HJ57" s="163" t="s">
        <v>325</v>
      </c>
      <c r="HK57" s="154">
        <v>8.0</v>
      </c>
      <c r="HL57" s="170" t="s">
        <v>307</v>
      </c>
    </row>
    <row r="58">
      <c r="A58" s="113" t="s">
        <v>326</v>
      </c>
      <c r="B58" s="172"/>
      <c r="C58" s="172"/>
      <c r="D58" s="172"/>
    </row>
    <row r="59">
      <c r="A59" s="175" t="s">
        <v>327</v>
      </c>
      <c r="B59" s="132"/>
      <c r="C59" s="132"/>
      <c r="D59" s="132"/>
      <c r="E59" s="83">
        <v>48.0</v>
      </c>
      <c r="F59" s="83">
        <v>3.0</v>
      </c>
      <c r="G59" s="82" t="s">
        <v>176</v>
      </c>
      <c r="H59" s="176">
        <v>1.58</v>
      </c>
      <c r="I59" s="132"/>
      <c r="J59" s="86">
        <v>45841.0</v>
      </c>
      <c r="K59" s="95" t="s">
        <v>328</v>
      </c>
      <c r="L59" s="95" t="s">
        <v>328</v>
      </c>
      <c r="M59" s="37">
        <f t="shared" ref="M59:M62" si="266">BB59+BZ59+DX59+ER59+FY59+GR59+CS59</f>
        <v>413584.8</v>
      </c>
      <c r="N59" s="37">
        <f t="shared" ref="N59:N62" si="267">M59/H59</f>
        <v>261762.5316</v>
      </c>
      <c r="O59" s="37">
        <f t="shared" ref="O59:O62" si="268">BR59</f>
        <v>30833.33333</v>
      </c>
      <c r="P59" s="37">
        <f t="shared" ref="P59:P62" si="269">O59/H59</f>
        <v>19514.76793</v>
      </c>
      <c r="Q59" s="37">
        <f t="shared" ref="Q59:Q62" si="270">BD59+AJ59+CA59</f>
        <v>300000</v>
      </c>
      <c r="R59" s="37">
        <f t="shared" ref="R59:R62" si="271">Q59/H59</f>
        <v>189873.4177</v>
      </c>
      <c r="S59" s="37">
        <f t="shared" ref="S59:S62" si="272">Q59-M59</f>
        <v>-113584.8</v>
      </c>
      <c r="T59" s="37">
        <f t="shared" ref="T59:T62" si="273">S59/H59</f>
        <v>-71889.11392</v>
      </c>
      <c r="U59" s="44">
        <f t="shared" ref="U59:U62" si="274">Q59-O59-M59</f>
        <v>-144418.1333</v>
      </c>
      <c r="V59" s="44">
        <f t="shared" ref="V59:V62" si="275">U59/H59</f>
        <v>-91403.88186</v>
      </c>
      <c r="W59" s="95">
        <f t="shared" ref="W59:W62" si="276">40*H59</f>
        <v>63.2</v>
      </c>
      <c r="X59" s="78"/>
      <c r="Y59" s="78"/>
      <c r="Z59" s="78"/>
      <c r="AA59" s="112">
        <v>32.5</v>
      </c>
      <c r="AB59" s="104">
        <f t="shared" ref="AB59:AB62" si="277">AA59-W59</f>
        <v>-30.7</v>
      </c>
      <c r="AC59" s="104">
        <f t="shared" ref="AC59:AC62" si="278">ifs(AB59&lt;0,AB59*AF59,AB59&gt;0,0,AB59="","")</f>
        <v>-184200</v>
      </c>
      <c r="AD59" s="94">
        <f t="shared" ref="AD59:AD62" si="279">IF(X59&lt;&gt;"", IFS(AB59&lt;0, AB59*AF59, AB59&gt;0, 0, AB59="", ""), 0)</f>
        <v>0</v>
      </c>
      <c r="AE59" s="171">
        <f t="shared" ref="AE59:AE62" si="280">AA59/H59</f>
        <v>20.56962025</v>
      </c>
      <c r="AF59" s="95">
        <v>6000.0</v>
      </c>
      <c r="AG59" s="95">
        <f t="shared" ref="AG59:AG62" si="281">(AA59*AF59)-(H59*40*6000)</f>
        <v>-184200</v>
      </c>
      <c r="AH59" s="167"/>
      <c r="AI59" s="78"/>
      <c r="AJ59" s="37">
        <f t="shared" ref="AJ59:AJ62" si="282">AA59*AF59</f>
        <v>195000</v>
      </c>
      <c r="AK59" s="37">
        <f t="shared" ref="AK59:AK62" si="283">AJ59/H59</f>
        <v>123417.7215</v>
      </c>
      <c r="AL59" s="95" t="s">
        <v>254</v>
      </c>
      <c r="AM59" s="95">
        <v>3.0</v>
      </c>
      <c r="AN59" s="95">
        <f t="shared" ref="AN59:AN62" si="284">AM59/H59</f>
        <v>1.898734177</v>
      </c>
      <c r="AO59" s="95">
        <v>25000.0</v>
      </c>
      <c r="AP59" s="95">
        <v>3.0</v>
      </c>
      <c r="AQ59" s="95">
        <v>35000.0</v>
      </c>
      <c r="AR59" s="78"/>
      <c r="AS59" s="78"/>
      <c r="AT59" s="78"/>
      <c r="AU59" s="78"/>
      <c r="AV59" s="78"/>
      <c r="AW59" s="78"/>
      <c r="AX59" s="78"/>
      <c r="AY59" s="78"/>
      <c r="AZ59" s="78"/>
      <c r="BA59" s="78"/>
      <c r="BB59" s="37">
        <f t="shared" ref="BB59:BB62" si="285">AM59*AO59+AR59+(AU59*AV59+AY59)</f>
        <v>75000</v>
      </c>
      <c r="BC59" s="37">
        <f t="shared" ref="BC59:BC62" si="286">BB59/H59</f>
        <v>47468.35443</v>
      </c>
      <c r="BD59" s="37">
        <f t="shared" ref="BD59:BD62" si="287">(AP59*AQ59)+AS59+(AW59*AX59)+AZ59</f>
        <v>105000</v>
      </c>
      <c r="BE59" s="37">
        <f t="shared" ref="BE59:BE62" si="288">BD59/H59</f>
        <v>66455.6962</v>
      </c>
      <c r="BF59" s="95" t="s">
        <v>190</v>
      </c>
      <c r="BG59" s="95">
        <v>1.0</v>
      </c>
      <c r="BH59" s="95">
        <f>275000/6</f>
        <v>45833.33333</v>
      </c>
      <c r="BI59" s="95" t="s">
        <v>302</v>
      </c>
      <c r="BJ59" s="95">
        <v>1.0</v>
      </c>
      <c r="BK59" s="95">
        <f t="shared" ref="BK59:BK62" si="289">650000/6</f>
        <v>108333.3333</v>
      </c>
      <c r="BL59" s="78"/>
      <c r="BM59" s="78"/>
      <c r="BN59" s="78"/>
      <c r="BO59" s="78"/>
      <c r="BP59" s="78"/>
      <c r="BQ59" s="78"/>
      <c r="BR59" s="37">
        <f t="shared" ref="BR59:BR62" si="290">(BG59*BH59+BJ59*BK59+BM59*BN59+BP59*BQ59)/5</f>
        <v>30833.33333</v>
      </c>
      <c r="BS59" s="90"/>
      <c r="BT59" s="90"/>
      <c r="BU59" s="90"/>
      <c r="BV59" s="90"/>
      <c r="BW59" s="90"/>
      <c r="BX59" s="90"/>
      <c r="BY59" s="90"/>
      <c r="BZ59" s="37">
        <f t="shared" ref="BZ59:CA59" si="265">BT59+BW59</f>
        <v>0</v>
      </c>
      <c r="CA59" s="37">
        <f t="shared" si="265"/>
        <v>0</v>
      </c>
      <c r="CB59" s="95">
        <f t="shared" ref="CB59:CB62" si="292">CC59*H59</f>
        <v>41080</v>
      </c>
      <c r="CC59" s="95">
        <v>26000.0</v>
      </c>
      <c r="CD59" s="95">
        <v>13904.0</v>
      </c>
      <c r="CE59" s="95">
        <f t="shared" ref="CE59:CE62" si="293">CD59/H59</f>
        <v>8800</v>
      </c>
      <c r="CF59" s="95">
        <f>20000*H59</f>
        <v>31600</v>
      </c>
      <c r="CG59" s="78"/>
      <c r="CH59" s="95">
        <f>4*13000</f>
        <v>52000</v>
      </c>
      <c r="CI59" s="95">
        <v>0.0</v>
      </c>
      <c r="CJ59" s="95">
        <v>0.0</v>
      </c>
      <c r="CK59" s="95">
        <v>0.0</v>
      </c>
      <c r="CL59" s="95">
        <v>0.0</v>
      </c>
      <c r="CM59" s="95">
        <v>0.0</v>
      </c>
      <c r="CN59" s="95">
        <v>0.0</v>
      </c>
      <c r="CO59" s="95">
        <v>1400.0</v>
      </c>
      <c r="CP59" s="87">
        <f t="shared" ref="CP59:CP62" si="294">CO59*AA59</f>
        <v>45500</v>
      </c>
      <c r="CQ59" s="87">
        <f t="shared" ref="CQ59:CQ62" si="295">CP59/H59</f>
        <v>28797.46835</v>
      </c>
      <c r="CR59" s="78"/>
      <c r="CS59" s="37">
        <f t="shared" ref="CS59:CS62" si="296">CB59+CD59+CF59+CH59+CI59+CK59+CL59+CM59+CN59</f>
        <v>138584</v>
      </c>
      <c r="CT59" s="95" t="s">
        <v>225</v>
      </c>
      <c r="CU59" s="95" t="s">
        <v>213</v>
      </c>
      <c r="CV59" s="95">
        <v>18.0</v>
      </c>
      <c r="CW59" s="78"/>
      <c r="CX59" s="78"/>
      <c r="CY59" s="78"/>
      <c r="CZ59" s="78"/>
      <c r="DA59" s="167"/>
      <c r="DB59" s="78"/>
      <c r="DC59" s="78"/>
      <c r="DD59" s="78"/>
      <c r="DE59" s="78"/>
      <c r="DF59" s="78"/>
      <c r="DG59" s="167"/>
      <c r="DH59" s="78"/>
      <c r="DI59" s="78"/>
      <c r="DJ59" s="95" t="s">
        <v>227</v>
      </c>
      <c r="DK59" s="95">
        <v>71.2</v>
      </c>
      <c r="DL59" s="95">
        <f t="shared" ref="DL59:DL62" si="297">DK59/H59</f>
        <v>45.06329114</v>
      </c>
      <c r="DM59" s="95">
        <v>2809.0</v>
      </c>
      <c r="DN59" s="95" t="s">
        <v>215</v>
      </c>
      <c r="DO59" s="95">
        <f>1.5*1</f>
        <v>1.5</v>
      </c>
      <c r="DP59" s="95">
        <v>0.0</v>
      </c>
      <c r="DQ59" s="78"/>
      <c r="DR59" s="78"/>
      <c r="DS59" s="78"/>
      <c r="DT59" s="95">
        <f t="shared" ref="DT59:DT62" si="298">(DK59+DO59+DR59)/H59</f>
        <v>46.01265823</v>
      </c>
      <c r="DU59" s="95">
        <v>2.0</v>
      </c>
      <c r="DV59" s="95">
        <v>0.0</v>
      </c>
      <c r="DW59" s="78"/>
      <c r="DX59" s="37">
        <f t="shared" ref="DX59:DX62" si="299">DK59*DM59+DP59*DO59+DS59*DR59</f>
        <v>200000.8</v>
      </c>
      <c r="DY59" s="37">
        <f t="shared" ref="DY59:DY62" si="300">DX59/H59</f>
        <v>126582.7848</v>
      </c>
      <c r="DZ59" s="78"/>
      <c r="EA59" s="78"/>
      <c r="EB59" s="95">
        <f t="shared" ref="EB59:EB62" si="301">EA59/H59</f>
        <v>0</v>
      </c>
      <c r="EC59" s="78"/>
      <c r="ED59" s="78"/>
      <c r="EE59" s="78"/>
      <c r="EF59" s="95">
        <f t="shared" ref="EF59:EF62" si="302">EE59/H59</f>
        <v>0</v>
      </c>
      <c r="EG59" s="78"/>
      <c r="EH59" s="78"/>
      <c r="EI59" s="78"/>
      <c r="EJ59" s="95">
        <f t="shared" ref="EJ59:EJ62" si="303">EI59/H59</f>
        <v>0</v>
      </c>
      <c r="EK59" s="78"/>
      <c r="EL59" s="78"/>
      <c r="EM59" s="78"/>
      <c r="EN59" s="78"/>
      <c r="EO59" s="78"/>
      <c r="EP59" s="78"/>
      <c r="EQ59" s="78"/>
      <c r="ER59" s="168">
        <f t="shared" ref="ER59:ER62" si="304">EC59+EG59+EK59+EN59</f>
        <v>0</v>
      </c>
      <c r="ES59" s="168">
        <f t="shared" ref="ES59:ES62" si="305">ER59/H59</f>
        <v>0</v>
      </c>
      <c r="ET59" s="95" t="s">
        <v>217</v>
      </c>
      <c r="EU59" s="95">
        <v>1.0</v>
      </c>
      <c r="EV59" s="95">
        <v>0.0</v>
      </c>
      <c r="EW59" s="95">
        <f t="shared" ref="EW59:EW60" si="306">1.5*1</f>
        <v>1.5</v>
      </c>
      <c r="EX59" s="95">
        <v>1.0</v>
      </c>
      <c r="EY59" s="95">
        <v>0.0</v>
      </c>
      <c r="EZ59" s="78"/>
      <c r="FA59" s="78"/>
      <c r="FB59" s="78"/>
      <c r="FC59" s="78"/>
      <c r="FD59" s="78"/>
      <c r="FE59" s="78"/>
      <c r="FF59" s="78"/>
      <c r="FG59" s="78"/>
      <c r="FH59" s="78"/>
      <c r="FI59" s="78"/>
      <c r="FJ59" s="78"/>
      <c r="FK59" s="78"/>
      <c r="FL59" s="78"/>
      <c r="FM59" s="78"/>
      <c r="FN59" s="78"/>
      <c r="FO59" s="78"/>
      <c r="FP59" s="78"/>
      <c r="FQ59" s="78"/>
      <c r="FR59" s="78"/>
      <c r="FS59" s="78"/>
      <c r="FT59" s="78"/>
      <c r="FU59" s="78"/>
      <c r="FV59" s="78"/>
      <c r="FW59" s="78"/>
      <c r="FX59" s="78"/>
      <c r="FY59" s="37">
        <f t="shared" ref="FY59:FY62" si="307">EV59+FB59+FH59+FN59+FT59</f>
        <v>0</v>
      </c>
      <c r="FZ59" s="37">
        <f t="shared" ref="FZ59:FZ62" si="308">FY59/H59</f>
        <v>0</v>
      </c>
      <c r="GA59" s="78"/>
      <c r="GB59" s="78"/>
      <c r="GC59" s="78"/>
      <c r="GD59" s="78"/>
      <c r="GE59" s="78"/>
      <c r="GF59" s="78"/>
      <c r="GG59" s="78"/>
      <c r="GH59" s="78"/>
      <c r="GI59" s="78"/>
      <c r="GJ59" s="78"/>
      <c r="GK59" s="78"/>
      <c r="GL59" s="78"/>
      <c r="GM59" s="78"/>
      <c r="GN59" s="78"/>
      <c r="GO59" s="78"/>
      <c r="GP59" s="78"/>
      <c r="GQ59" s="78"/>
      <c r="GR59" s="98">
        <f t="shared" ref="GR59:GR62" si="309">GB59*GC59+GH59*GI59+GN59*GO59</f>
        <v>0</v>
      </c>
      <c r="GS59" s="98">
        <f t="shared" ref="GS59:GS62" si="310">GR59/H59</f>
        <v>0</v>
      </c>
      <c r="GT59" s="78"/>
      <c r="GU59" s="78"/>
      <c r="GV59" s="78"/>
      <c r="GW59" s="78"/>
      <c r="GX59" s="78"/>
      <c r="GY59" s="78"/>
      <c r="GZ59" s="78"/>
      <c r="HA59" s="78"/>
      <c r="HB59" s="78"/>
      <c r="HC59" s="78"/>
      <c r="HD59" s="78"/>
      <c r="HE59" s="78"/>
      <c r="HF59" s="78"/>
      <c r="HG59" s="169">
        <v>40.0</v>
      </c>
      <c r="HH59" s="169" t="s">
        <v>260</v>
      </c>
      <c r="HI59" s="106"/>
      <c r="HJ59" s="163" t="s">
        <v>296</v>
      </c>
      <c r="HK59" s="154">
        <v>4.0</v>
      </c>
      <c r="HL59" s="170" t="s">
        <v>307</v>
      </c>
    </row>
    <row r="60">
      <c r="A60" s="175" t="s">
        <v>329</v>
      </c>
      <c r="B60" s="132"/>
      <c r="C60" s="132"/>
      <c r="D60" s="132"/>
      <c r="E60" s="83">
        <v>48.0</v>
      </c>
      <c r="F60" s="83">
        <v>3.0</v>
      </c>
      <c r="G60" s="82" t="s">
        <v>176</v>
      </c>
      <c r="H60" s="84">
        <v>4.44</v>
      </c>
      <c r="I60" s="132"/>
      <c r="J60" s="86">
        <v>45853.0</v>
      </c>
      <c r="K60" s="95" t="s">
        <v>328</v>
      </c>
      <c r="L60" s="95" t="s">
        <v>328</v>
      </c>
      <c r="M60" s="37">
        <f t="shared" si="266"/>
        <v>926227.2</v>
      </c>
      <c r="N60" s="37">
        <f t="shared" si="267"/>
        <v>208609.7297</v>
      </c>
      <c r="O60" s="37">
        <f t="shared" si="268"/>
        <v>104166.6667</v>
      </c>
      <c r="P60" s="37">
        <f t="shared" si="269"/>
        <v>23460.96096</v>
      </c>
      <c r="Q60" s="37">
        <f t="shared" si="270"/>
        <v>1316000</v>
      </c>
      <c r="R60" s="37">
        <f t="shared" si="271"/>
        <v>296396.3964</v>
      </c>
      <c r="S60" s="37">
        <f t="shared" si="272"/>
        <v>389772.8</v>
      </c>
      <c r="T60" s="37">
        <f t="shared" si="273"/>
        <v>87786.66667</v>
      </c>
      <c r="U60" s="38">
        <f t="shared" si="274"/>
        <v>285606.1333</v>
      </c>
      <c r="V60" s="38">
        <f t="shared" si="275"/>
        <v>64325.70571</v>
      </c>
      <c r="W60" s="95">
        <f t="shared" si="276"/>
        <v>177.6</v>
      </c>
      <c r="X60" s="78"/>
      <c r="Y60" s="78"/>
      <c r="Z60" s="78"/>
      <c r="AA60" s="91">
        <v>178.5</v>
      </c>
      <c r="AB60" s="92">
        <f t="shared" si="277"/>
        <v>0.9</v>
      </c>
      <c r="AC60" s="93">
        <f t="shared" si="278"/>
        <v>0</v>
      </c>
      <c r="AD60" s="94">
        <f t="shared" si="279"/>
        <v>0</v>
      </c>
      <c r="AE60" s="159">
        <f t="shared" si="280"/>
        <v>40.2027027</v>
      </c>
      <c r="AF60" s="95">
        <v>6000.0</v>
      </c>
      <c r="AG60" s="95">
        <f t="shared" si="281"/>
        <v>5400</v>
      </c>
      <c r="AH60" s="173">
        <v>45857.0</v>
      </c>
      <c r="AI60" s="78"/>
      <c r="AJ60" s="37">
        <f t="shared" si="282"/>
        <v>1071000</v>
      </c>
      <c r="AK60" s="37">
        <f t="shared" si="283"/>
        <v>241216.2162</v>
      </c>
      <c r="AL60" s="95" t="s">
        <v>254</v>
      </c>
      <c r="AM60" s="95">
        <v>9.0</v>
      </c>
      <c r="AN60" s="95">
        <f t="shared" si="284"/>
        <v>2.027027027</v>
      </c>
      <c r="AO60" s="95">
        <v>25000.0</v>
      </c>
      <c r="AP60" s="95">
        <v>7.0</v>
      </c>
      <c r="AQ60" s="95">
        <v>35000.0</v>
      </c>
      <c r="AR60" s="78"/>
      <c r="AS60" s="78"/>
      <c r="AT60" s="78"/>
      <c r="AU60" s="78"/>
      <c r="AV60" s="78"/>
      <c r="AW60" s="78"/>
      <c r="AX60" s="78"/>
      <c r="AY60" s="78"/>
      <c r="AZ60" s="78"/>
      <c r="BA60" s="78"/>
      <c r="BB60" s="37">
        <f t="shared" si="285"/>
        <v>225000</v>
      </c>
      <c r="BC60" s="37">
        <f t="shared" si="286"/>
        <v>50675.67568</v>
      </c>
      <c r="BD60" s="37">
        <f t="shared" si="287"/>
        <v>245000</v>
      </c>
      <c r="BE60" s="37">
        <f t="shared" si="288"/>
        <v>55180.18018</v>
      </c>
      <c r="BF60" s="95" t="s">
        <v>190</v>
      </c>
      <c r="BG60" s="95">
        <v>3.0</v>
      </c>
      <c r="BH60" s="95">
        <f>825000/6</f>
        <v>137500</v>
      </c>
      <c r="BI60" s="95" t="s">
        <v>302</v>
      </c>
      <c r="BJ60" s="95">
        <v>1.0</v>
      </c>
      <c r="BK60" s="95">
        <f t="shared" si="289"/>
        <v>108333.3333</v>
      </c>
      <c r="BL60" s="78"/>
      <c r="BM60" s="78"/>
      <c r="BN60" s="78"/>
      <c r="BO60" s="78"/>
      <c r="BP60" s="78"/>
      <c r="BQ60" s="78"/>
      <c r="BR60" s="37">
        <f t="shared" si="290"/>
        <v>104166.6667</v>
      </c>
      <c r="BS60" s="87" t="s">
        <v>219</v>
      </c>
      <c r="BT60" s="98">
        <v>6000.0</v>
      </c>
      <c r="BU60" s="98">
        <v>0.0</v>
      </c>
      <c r="BV60" s="98" t="s">
        <v>208</v>
      </c>
      <c r="BW60" s="98">
        <v>2000.0</v>
      </c>
      <c r="BX60" s="98">
        <v>0.0</v>
      </c>
      <c r="BY60" s="90"/>
      <c r="BZ60" s="37">
        <f t="shared" ref="BZ60:CA60" si="291">BT60+BW60</f>
        <v>8000</v>
      </c>
      <c r="CA60" s="37">
        <f t="shared" si="291"/>
        <v>0</v>
      </c>
      <c r="CB60" s="95">
        <f t="shared" si="292"/>
        <v>111000</v>
      </c>
      <c r="CC60" s="95">
        <v>25000.0</v>
      </c>
      <c r="CD60" s="95">
        <v>39072.0</v>
      </c>
      <c r="CE60" s="95">
        <f t="shared" si="293"/>
        <v>8800</v>
      </c>
      <c r="CF60" s="87">
        <f t="shared" ref="CF60:CF62" si="312">(20000*H60)+(10000*H60)</f>
        <v>133200</v>
      </c>
      <c r="CG60" s="95">
        <f t="shared" ref="CG60:CG62" si="313">CF60/H60</f>
        <v>30000</v>
      </c>
      <c r="CH60" s="95">
        <v>10000.0</v>
      </c>
      <c r="CI60" s="95">
        <v>0.0</v>
      </c>
      <c r="CJ60" s="95">
        <v>0.0</v>
      </c>
      <c r="CK60" s="95">
        <v>0.0</v>
      </c>
      <c r="CL60" s="95">
        <v>0.0</v>
      </c>
      <c r="CM60" s="95">
        <v>0.0</v>
      </c>
      <c r="CN60" s="95">
        <v>0.0</v>
      </c>
      <c r="CO60" s="95">
        <v>1400.0</v>
      </c>
      <c r="CP60" s="87">
        <f t="shared" si="294"/>
        <v>249900</v>
      </c>
      <c r="CQ60" s="87">
        <f t="shared" si="295"/>
        <v>56283.78378</v>
      </c>
      <c r="CR60" s="78"/>
      <c r="CS60" s="37">
        <f t="shared" si="296"/>
        <v>293272</v>
      </c>
      <c r="CT60" s="95" t="s">
        <v>225</v>
      </c>
      <c r="CU60" s="95" t="s">
        <v>213</v>
      </c>
      <c r="CV60" s="95">
        <v>15.0</v>
      </c>
      <c r="CW60" s="78"/>
      <c r="CX60" s="78"/>
      <c r="CY60" s="78"/>
      <c r="CZ60" s="78"/>
      <c r="DA60" s="173">
        <v>45857.0</v>
      </c>
      <c r="DB60" s="82" t="s">
        <v>322</v>
      </c>
      <c r="DC60" s="78"/>
      <c r="DD60" s="78"/>
      <c r="DE60" s="78"/>
      <c r="DF60" s="78"/>
      <c r="DG60" s="173">
        <v>45857.0</v>
      </c>
      <c r="DH60" s="78"/>
      <c r="DI60" s="78"/>
      <c r="DJ60" s="95" t="s">
        <v>227</v>
      </c>
      <c r="DK60" s="95">
        <v>177.6</v>
      </c>
      <c r="DL60" s="95">
        <f t="shared" si="297"/>
        <v>40</v>
      </c>
      <c r="DM60" s="95">
        <v>2252.0</v>
      </c>
      <c r="DN60" s="95" t="s">
        <v>215</v>
      </c>
      <c r="DO60" s="95">
        <f>1*1.5</f>
        <v>1.5</v>
      </c>
      <c r="DP60" s="95">
        <v>0.0</v>
      </c>
      <c r="DQ60" s="78"/>
      <c r="DR60" s="78"/>
      <c r="DS60" s="78"/>
      <c r="DT60" s="95">
        <f t="shared" si="298"/>
        <v>40.33783784</v>
      </c>
      <c r="DU60" s="95">
        <v>2.0</v>
      </c>
      <c r="DV60" s="95">
        <v>0.0</v>
      </c>
      <c r="DW60" s="78"/>
      <c r="DX60" s="37">
        <f t="shared" si="299"/>
        <v>399955.2</v>
      </c>
      <c r="DY60" s="37">
        <f t="shared" si="300"/>
        <v>90080</v>
      </c>
      <c r="DZ60" s="78"/>
      <c r="EA60" s="78"/>
      <c r="EB60" s="95">
        <f t="shared" si="301"/>
        <v>0</v>
      </c>
      <c r="EC60" s="78"/>
      <c r="ED60" s="78"/>
      <c r="EE60" s="78"/>
      <c r="EF60" s="95">
        <f t="shared" si="302"/>
        <v>0</v>
      </c>
      <c r="EG60" s="78"/>
      <c r="EH60" s="78"/>
      <c r="EI60" s="78"/>
      <c r="EJ60" s="95">
        <f t="shared" si="303"/>
        <v>0</v>
      </c>
      <c r="EK60" s="78"/>
      <c r="EL60" s="78"/>
      <c r="EM60" s="78"/>
      <c r="EN60" s="78"/>
      <c r="EO60" s="78"/>
      <c r="EP60" s="78"/>
      <c r="EQ60" s="78"/>
      <c r="ER60" s="168">
        <f t="shared" si="304"/>
        <v>0</v>
      </c>
      <c r="ES60" s="168">
        <f t="shared" si="305"/>
        <v>0</v>
      </c>
      <c r="ET60" s="95" t="s">
        <v>217</v>
      </c>
      <c r="EU60" s="177">
        <v>1.0</v>
      </c>
      <c r="EV60" s="177">
        <v>0.0</v>
      </c>
      <c r="EW60" s="95">
        <f t="shared" si="306"/>
        <v>1.5</v>
      </c>
      <c r="EX60" s="95">
        <v>1.0</v>
      </c>
      <c r="EY60" s="95">
        <v>0.0</v>
      </c>
      <c r="EZ60" s="78"/>
      <c r="FA60" s="78"/>
      <c r="FB60" s="78"/>
      <c r="FC60" s="78"/>
      <c r="FD60" s="78"/>
      <c r="FE60" s="78"/>
      <c r="FF60" s="78"/>
      <c r="FG60" s="78"/>
      <c r="FH60" s="78"/>
      <c r="FI60" s="78"/>
      <c r="FJ60" s="78"/>
      <c r="FK60" s="78"/>
      <c r="FL60" s="78"/>
      <c r="FM60" s="78"/>
      <c r="FN60" s="78"/>
      <c r="FO60" s="78"/>
      <c r="FP60" s="78"/>
      <c r="FQ60" s="78"/>
      <c r="FR60" s="78"/>
      <c r="FS60" s="78"/>
      <c r="FT60" s="78"/>
      <c r="FU60" s="78"/>
      <c r="FV60" s="78"/>
      <c r="FW60" s="78"/>
      <c r="FX60" s="78"/>
      <c r="FY60" s="37">
        <f t="shared" si="307"/>
        <v>0</v>
      </c>
      <c r="FZ60" s="37">
        <f t="shared" si="308"/>
        <v>0</v>
      </c>
      <c r="GA60" s="78"/>
      <c r="GB60" s="78"/>
      <c r="GC60" s="78"/>
      <c r="GD60" s="78"/>
      <c r="GE60" s="78"/>
      <c r="GF60" s="78"/>
      <c r="GG60" s="78"/>
      <c r="GH60" s="78"/>
      <c r="GI60" s="78"/>
      <c r="GJ60" s="78"/>
      <c r="GK60" s="78"/>
      <c r="GL60" s="78"/>
      <c r="GM60" s="78"/>
      <c r="GN60" s="78"/>
      <c r="GO60" s="78"/>
      <c r="GP60" s="78"/>
      <c r="GQ60" s="78"/>
      <c r="GR60" s="98">
        <f t="shared" si="309"/>
        <v>0</v>
      </c>
      <c r="GS60" s="98">
        <f t="shared" si="310"/>
        <v>0</v>
      </c>
      <c r="GT60" s="95" t="s">
        <v>194</v>
      </c>
      <c r="GU60" s="95" t="s">
        <v>208</v>
      </c>
      <c r="GV60" s="95" t="s">
        <v>219</v>
      </c>
      <c r="GW60" s="78"/>
      <c r="GX60" s="95" t="s">
        <v>294</v>
      </c>
      <c r="GY60" s="95" t="s">
        <v>295</v>
      </c>
      <c r="GZ60" s="78"/>
      <c r="HA60" s="78"/>
      <c r="HB60" s="78"/>
      <c r="HC60" s="78"/>
      <c r="HD60" s="78"/>
      <c r="HE60" s="78"/>
      <c r="HF60" s="78"/>
      <c r="HG60" s="169">
        <v>40.0</v>
      </c>
      <c r="HH60" s="169" t="s">
        <v>260</v>
      </c>
      <c r="HI60" s="106"/>
      <c r="HJ60" s="163" t="s">
        <v>296</v>
      </c>
      <c r="HK60" s="154">
        <v>8.0</v>
      </c>
      <c r="HL60" s="170" t="s">
        <v>307</v>
      </c>
    </row>
    <row r="61">
      <c r="A61" s="175" t="s">
        <v>330</v>
      </c>
      <c r="B61" s="132"/>
      <c r="C61" s="132"/>
      <c r="D61" s="132"/>
      <c r="E61" s="83">
        <v>48.0</v>
      </c>
      <c r="F61" s="83">
        <v>3.0</v>
      </c>
      <c r="G61" s="82" t="s">
        <v>176</v>
      </c>
      <c r="H61" s="84">
        <v>4.43</v>
      </c>
      <c r="I61" s="132"/>
      <c r="J61" s="86">
        <v>45853.0</v>
      </c>
      <c r="K61" s="95" t="s">
        <v>328</v>
      </c>
      <c r="L61" s="95" t="s">
        <v>328</v>
      </c>
      <c r="M61" s="37">
        <f t="shared" si="266"/>
        <v>976582</v>
      </c>
      <c r="N61" s="37">
        <f t="shared" si="267"/>
        <v>220447.4041</v>
      </c>
      <c r="O61" s="37">
        <f t="shared" si="268"/>
        <v>58333.33333</v>
      </c>
      <c r="P61" s="37">
        <f t="shared" si="269"/>
        <v>13167.79533</v>
      </c>
      <c r="Q61" s="37">
        <f t="shared" si="270"/>
        <v>1177000</v>
      </c>
      <c r="R61" s="37">
        <f t="shared" si="271"/>
        <v>265688.4876</v>
      </c>
      <c r="S61" s="37">
        <f t="shared" si="272"/>
        <v>200418</v>
      </c>
      <c r="T61" s="37">
        <f t="shared" si="273"/>
        <v>45241.08352</v>
      </c>
      <c r="U61" s="38">
        <f t="shared" si="274"/>
        <v>142084.6667</v>
      </c>
      <c r="V61" s="38">
        <f t="shared" si="275"/>
        <v>32073.28819</v>
      </c>
      <c r="W61" s="95">
        <f t="shared" si="276"/>
        <v>177.2</v>
      </c>
      <c r="X61" s="78"/>
      <c r="Y61" s="78"/>
      <c r="Z61" s="78"/>
      <c r="AA61" s="91">
        <v>149.5</v>
      </c>
      <c r="AB61" s="104">
        <f t="shared" si="277"/>
        <v>-27.7</v>
      </c>
      <c r="AC61" s="104">
        <f t="shared" si="278"/>
        <v>-166200</v>
      </c>
      <c r="AD61" s="94">
        <f t="shared" si="279"/>
        <v>0</v>
      </c>
      <c r="AE61" s="171">
        <f t="shared" si="280"/>
        <v>33.74717833</v>
      </c>
      <c r="AF61" s="95">
        <v>6000.0</v>
      </c>
      <c r="AG61" s="95">
        <f t="shared" si="281"/>
        <v>-166200</v>
      </c>
      <c r="AH61" s="173">
        <v>45858.0</v>
      </c>
      <c r="AI61" s="78"/>
      <c r="AJ61" s="37">
        <f t="shared" si="282"/>
        <v>897000</v>
      </c>
      <c r="AK61" s="37">
        <f t="shared" si="283"/>
        <v>202483.07</v>
      </c>
      <c r="AL61" s="95" t="s">
        <v>254</v>
      </c>
      <c r="AM61" s="95">
        <v>9.0</v>
      </c>
      <c r="AN61" s="95">
        <f t="shared" si="284"/>
        <v>2.031602709</v>
      </c>
      <c r="AO61" s="95">
        <v>25000.0</v>
      </c>
      <c r="AP61" s="95">
        <v>7.0</v>
      </c>
      <c r="AQ61" s="95">
        <v>40000.0</v>
      </c>
      <c r="AR61" s="78"/>
      <c r="AS61" s="78"/>
      <c r="AT61" s="78"/>
      <c r="AU61" s="78"/>
      <c r="AV61" s="78"/>
      <c r="AW61" s="78"/>
      <c r="AX61" s="78"/>
      <c r="AY61" s="78"/>
      <c r="AZ61" s="78"/>
      <c r="BA61" s="78"/>
      <c r="BB61" s="37">
        <f t="shared" si="285"/>
        <v>225000</v>
      </c>
      <c r="BC61" s="37">
        <f t="shared" si="286"/>
        <v>50790.06772</v>
      </c>
      <c r="BD61" s="37">
        <f t="shared" si="287"/>
        <v>280000</v>
      </c>
      <c r="BE61" s="37">
        <f t="shared" si="288"/>
        <v>63205.41761</v>
      </c>
      <c r="BF61" s="95" t="s">
        <v>190</v>
      </c>
      <c r="BG61" s="95">
        <v>2.0</v>
      </c>
      <c r="BH61" s="95">
        <f t="shared" ref="BH61:BH62" si="314">550000/6</f>
        <v>91666.66667</v>
      </c>
      <c r="BI61" s="95" t="s">
        <v>302</v>
      </c>
      <c r="BJ61" s="95">
        <v>1.0</v>
      </c>
      <c r="BK61" s="95">
        <f t="shared" si="289"/>
        <v>108333.3333</v>
      </c>
      <c r="BL61" s="78"/>
      <c r="BM61" s="78"/>
      <c r="BN61" s="78"/>
      <c r="BO61" s="78"/>
      <c r="BP61" s="78"/>
      <c r="BQ61" s="78"/>
      <c r="BR61" s="37">
        <f t="shared" si="290"/>
        <v>58333.33333</v>
      </c>
      <c r="BS61" s="90"/>
      <c r="BT61" s="90"/>
      <c r="BU61" s="90"/>
      <c r="BV61" s="90"/>
      <c r="BW61" s="90"/>
      <c r="BX61" s="90"/>
      <c r="BY61" s="90"/>
      <c r="BZ61" s="37">
        <f t="shared" ref="BZ61:CA61" si="311">BT61+BW61</f>
        <v>0</v>
      </c>
      <c r="CA61" s="37">
        <f t="shared" si="311"/>
        <v>0</v>
      </c>
      <c r="CB61" s="95">
        <f t="shared" si="292"/>
        <v>119610</v>
      </c>
      <c r="CC61" s="95">
        <v>27000.0</v>
      </c>
      <c r="CD61" s="95">
        <v>38984.0</v>
      </c>
      <c r="CE61" s="95">
        <f t="shared" si="293"/>
        <v>8800</v>
      </c>
      <c r="CF61" s="87">
        <f t="shared" si="312"/>
        <v>132900</v>
      </c>
      <c r="CG61" s="95">
        <f t="shared" si="313"/>
        <v>30000</v>
      </c>
      <c r="CH61" s="95">
        <v>10000.0</v>
      </c>
      <c r="CI61" s="95">
        <v>0.0</v>
      </c>
      <c r="CJ61" s="95">
        <v>0.0</v>
      </c>
      <c r="CK61" s="95">
        <v>0.0</v>
      </c>
      <c r="CL61" s="95">
        <v>0.0</v>
      </c>
      <c r="CM61" s="95">
        <v>0.0</v>
      </c>
      <c r="CN61" s="95">
        <v>0.0</v>
      </c>
      <c r="CO61" s="95">
        <v>1400.0</v>
      </c>
      <c r="CP61" s="87">
        <f t="shared" si="294"/>
        <v>209300</v>
      </c>
      <c r="CQ61" s="87">
        <f t="shared" si="295"/>
        <v>47246.04966</v>
      </c>
      <c r="CR61" s="78"/>
      <c r="CS61" s="37">
        <f t="shared" si="296"/>
        <v>301494</v>
      </c>
      <c r="CT61" s="95" t="s">
        <v>225</v>
      </c>
      <c r="CU61" s="95" t="s">
        <v>213</v>
      </c>
      <c r="CV61" s="95">
        <v>20.0</v>
      </c>
      <c r="CW61" s="78"/>
      <c r="CX61" s="78"/>
      <c r="CY61" s="78"/>
      <c r="CZ61" s="78"/>
      <c r="DA61" s="173">
        <v>45858.0</v>
      </c>
      <c r="DB61" s="82" t="s">
        <v>322</v>
      </c>
      <c r="DC61" s="78"/>
      <c r="DD61" s="78"/>
      <c r="DE61" s="78"/>
      <c r="DF61" s="78"/>
      <c r="DG61" s="173">
        <v>45858.0</v>
      </c>
      <c r="DH61" s="78"/>
      <c r="DI61" s="78"/>
      <c r="DJ61" s="95" t="s">
        <v>227</v>
      </c>
      <c r="DK61" s="95">
        <v>177.2</v>
      </c>
      <c r="DL61" s="95">
        <f t="shared" si="297"/>
        <v>40</v>
      </c>
      <c r="DM61" s="95">
        <v>2540.0</v>
      </c>
      <c r="DN61" s="95" t="s">
        <v>215</v>
      </c>
      <c r="DO61" s="95">
        <v>0.0</v>
      </c>
      <c r="DP61" s="95">
        <v>0.0</v>
      </c>
      <c r="DQ61" s="78"/>
      <c r="DR61" s="78"/>
      <c r="DS61" s="78"/>
      <c r="DT61" s="95">
        <f t="shared" si="298"/>
        <v>40</v>
      </c>
      <c r="DU61" s="95">
        <v>1.0</v>
      </c>
      <c r="DV61" s="95">
        <v>0.0</v>
      </c>
      <c r="DW61" s="78"/>
      <c r="DX61" s="37">
        <f t="shared" si="299"/>
        <v>450088</v>
      </c>
      <c r="DY61" s="37">
        <f t="shared" si="300"/>
        <v>101600</v>
      </c>
      <c r="DZ61" s="78"/>
      <c r="EA61" s="78"/>
      <c r="EB61" s="95">
        <f t="shared" si="301"/>
        <v>0</v>
      </c>
      <c r="EC61" s="78"/>
      <c r="ED61" s="78"/>
      <c r="EE61" s="78"/>
      <c r="EF61" s="95">
        <f t="shared" si="302"/>
        <v>0</v>
      </c>
      <c r="EG61" s="78"/>
      <c r="EH61" s="78"/>
      <c r="EI61" s="78"/>
      <c r="EJ61" s="95">
        <f t="shared" si="303"/>
        <v>0</v>
      </c>
      <c r="EK61" s="78"/>
      <c r="EL61" s="78"/>
      <c r="EM61" s="78"/>
      <c r="EN61" s="78"/>
      <c r="EO61" s="78"/>
      <c r="EP61" s="78"/>
      <c r="EQ61" s="78"/>
      <c r="ER61" s="168">
        <f t="shared" si="304"/>
        <v>0</v>
      </c>
      <c r="ES61" s="168">
        <f t="shared" si="305"/>
        <v>0</v>
      </c>
      <c r="ET61" s="95" t="s">
        <v>217</v>
      </c>
      <c r="EU61" s="95">
        <v>0.0</v>
      </c>
      <c r="EV61" s="95">
        <v>0.0</v>
      </c>
      <c r="EW61" s="95">
        <v>0.0</v>
      </c>
      <c r="EX61" s="95">
        <v>0.0</v>
      </c>
      <c r="EY61" s="95">
        <v>0.0</v>
      </c>
      <c r="EZ61" s="78"/>
      <c r="FA61" s="78"/>
      <c r="FB61" s="78"/>
      <c r="FC61" s="78"/>
      <c r="FD61" s="78"/>
      <c r="FE61" s="78"/>
      <c r="FF61" s="78"/>
      <c r="FG61" s="78"/>
      <c r="FH61" s="78"/>
      <c r="FI61" s="78"/>
      <c r="FJ61" s="78"/>
      <c r="FK61" s="78"/>
      <c r="FL61" s="78"/>
      <c r="FM61" s="78"/>
      <c r="FN61" s="78"/>
      <c r="FO61" s="78"/>
      <c r="FP61" s="78"/>
      <c r="FQ61" s="78"/>
      <c r="FR61" s="78"/>
      <c r="FS61" s="78"/>
      <c r="FT61" s="78"/>
      <c r="FU61" s="78"/>
      <c r="FV61" s="78"/>
      <c r="FW61" s="78"/>
      <c r="FX61" s="78"/>
      <c r="FY61" s="37">
        <f t="shared" si="307"/>
        <v>0</v>
      </c>
      <c r="FZ61" s="37">
        <f t="shared" si="308"/>
        <v>0</v>
      </c>
      <c r="GA61" s="78"/>
      <c r="GB61" s="78"/>
      <c r="GC61" s="78"/>
      <c r="GD61" s="78"/>
      <c r="GE61" s="78"/>
      <c r="GF61" s="78"/>
      <c r="GG61" s="78"/>
      <c r="GH61" s="78"/>
      <c r="GI61" s="78"/>
      <c r="GJ61" s="78"/>
      <c r="GK61" s="78"/>
      <c r="GL61" s="78"/>
      <c r="GM61" s="78"/>
      <c r="GN61" s="78"/>
      <c r="GO61" s="78"/>
      <c r="GP61" s="78"/>
      <c r="GQ61" s="78"/>
      <c r="GR61" s="98">
        <f t="shared" si="309"/>
        <v>0</v>
      </c>
      <c r="GS61" s="98">
        <f t="shared" si="310"/>
        <v>0</v>
      </c>
      <c r="GT61" s="78"/>
      <c r="GU61" s="78"/>
      <c r="GV61" s="78"/>
      <c r="GW61" s="78"/>
      <c r="GX61" s="95" t="s">
        <v>294</v>
      </c>
      <c r="GY61" s="78"/>
      <c r="GZ61" s="78"/>
      <c r="HA61" s="78"/>
      <c r="HB61" s="78"/>
      <c r="HC61" s="78"/>
      <c r="HD61" s="78"/>
      <c r="HE61" s="78"/>
      <c r="HF61" s="78"/>
      <c r="HG61" s="169">
        <v>40.0</v>
      </c>
      <c r="HH61" s="169" t="s">
        <v>260</v>
      </c>
      <c r="HI61" s="106"/>
      <c r="HJ61" s="163" t="s">
        <v>296</v>
      </c>
      <c r="HK61" s="154">
        <v>6.0</v>
      </c>
      <c r="HL61" s="170" t="s">
        <v>307</v>
      </c>
    </row>
    <row r="62">
      <c r="A62" s="175" t="s">
        <v>331</v>
      </c>
      <c r="B62" s="132"/>
      <c r="C62" s="132"/>
      <c r="D62" s="132"/>
      <c r="E62" s="83">
        <v>48.0</v>
      </c>
      <c r="F62" s="83">
        <v>3.0</v>
      </c>
      <c r="G62" s="82" t="s">
        <v>176</v>
      </c>
      <c r="H62" s="84">
        <v>3.77</v>
      </c>
      <c r="I62" s="132"/>
      <c r="J62" s="86">
        <v>45853.0</v>
      </c>
      <c r="K62" s="95" t="s">
        <v>328</v>
      </c>
      <c r="L62" s="95" t="s">
        <v>328</v>
      </c>
      <c r="M62" s="37">
        <f t="shared" si="266"/>
        <v>806464.38</v>
      </c>
      <c r="N62" s="37">
        <f t="shared" si="267"/>
        <v>213916.2812</v>
      </c>
      <c r="O62" s="37">
        <f t="shared" si="268"/>
        <v>58333.33333</v>
      </c>
      <c r="P62" s="37">
        <f t="shared" si="269"/>
        <v>15473.03271</v>
      </c>
      <c r="Q62" s="37">
        <f t="shared" si="270"/>
        <v>1065000</v>
      </c>
      <c r="R62" s="37">
        <f t="shared" si="271"/>
        <v>282493.3687</v>
      </c>
      <c r="S62" s="37">
        <f t="shared" si="272"/>
        <v>258535.62</v>
      </c>
      <c r="T62" s="37">
        <f t="shared" si="273"/>
        <v>68577.08753</v>
      </c>
      <c r="U62" s="38">
        <f t="shared" si="274"/>
        <v>200202.2867</v>
      </c>
      <c r="V62" s="38">
        <f t="shared" si="275"/>
        <v>53104.05482</v>
      </c>
      <c r="W62" s="95">
        <f t="shared" si="276"/>
        <v>150.8</v>
      </c>
      <c r="X62" s="78"/>
      <c r="Y62" s="78"/>
      <c r="Z62" s="78"/>
      <c r="AA62" s="91">
        <v>137.5</v>
      </c>
      <c r="AB62" s="104">
        <f t="shared" si="277"/>
        <v>-13.3</v>
      </c>
      <c r="AC62" s="104">
        <f t="shared" si="278"/>
        <v>-79800</v>
      </c>
      <c r="AD62" s="94">
        <f t="shared" si="279"/>
        <v>0</v>
      </c>
      <c r="AE62" s="171">
        <f t="shared" si="280"/>
        <v>36.47214854</v>
      </c>
      <c r="AF62" s="95">
        <v>6000.0</v>
      </c>
      <c r="AG62" s="95">
        <f t="shared" si="281"/>
        <v>-79800</v>
      </c>
      <c r="AH62" s="173">
        <v>45855.0</v>
      </c>
      <c r="AI62" s="78"/>
      <c r="AJ62" s="37">
        <f t="shared" si="282"/>
        <v>825000</v>
      </c>
      <c r="AK62" s="37">
        <f t="shared" si="283"/>
        <v>218832.8912</v>
      </c>
      <c r="AL62" s="95" t="s">
        <v>254</v>
      </c>
      <c r="AM62" s="95">
        <v>8.0</v>
      </c>
      <c r="AN62" s="95">
        <f t="shared" si="284"/>
        <v>2.122015915</v>
      </c>
      <c r="AO62" s="95">
        <v>25000.0</v>
      </c>
      <c r="AP62" s="95">
        <v>6.0</v>
      </c>
      <c r="AQ62" s="95">
        <v>40000.0</v>
      </c>
      <c r="AR62" s="78"/>
      <c r="AS62" s="78"/>
      <c r="AT62" s="78"/>
      <c r="AU62" s="78"/>
      <c r="AV62" s="78"/>
      <c r="AW62" s="78"/>
      <c r="AX62" s="78"/>
      <c r="AY62" s="78"/>
      <c r="AZ62" s="78"/>
      <c r="BA62" s="78"/>
      <c r="BB62" s="37">
        <f t="shared" si="285"/>
        <v>200000</v>
      </c>
      <c r="BC62" s="37">
        <f t="shared" si="286"/>
        <v>53050.39788</v>
      </c>
      <c r="BD62" s="37">
        <f t="shared" si="287"/>
        <v>240000</v>
      </c>
      <c r="BE62" s="37">
        <f t="shared" si="288"/>
        <v>63660.47745</v>
      </c>
      <c r="BF62" s="95" t="s">
        <v>190</v>
      </c>
      <c r="BG62" s="95">
        <v>2.0</v>
      </c>
      <c r="BH62" s="95">
        <f t="shared" si="314"/>
        <v>91666.66667</v>
      </c>
      <c r="BI62" s="95" t="s">
        <v>302</v>
      </c>
      <c r="BJ62" s="95">
        <v>1.0</v>
      </c>
      <c r="BK62" s="95">
        <f t="shared" si="289"/>
        <v>108333.3333</v>
      </c>
      <c r="BL62" s="78"/>
      <c r="BM62" s="78"/>
      <c r="BN62" s="78"/>
      <c r="BO62" s="78"/>
      <c r="BP62" s="78"/>
      <c r="BQ62" s="78"/>
      <c r="BR62" s="37">
        <f t="shared" si="290"/>
        <v>58333.33333</v>
      </c>
      <c r="BS62" s="87" t="s">
        <v>219</v>
      </c>
      <c r="BT62" s="98">
        <v>5000.0</v>
      </c>
      <c r="BU62" s="98">
        <v>0.0</v>
      </c>
      <c r="BV62" s="98" t="s">
        <v>208</v>
      </c>
      <c r="BW62" s="98">
        <v>1000.0</v>
      </c>
      <c r="BX62" s="98">
        <v>0.0</v>
      </c>
      <c r="BY62" s="90"/>
      <c r="BZ62" s="37">
        <f t="shared" ref="BZ62:CA62" si="315">BT62+BW62</f>
        <v>6000</v>
      </c>
      <c r="CA62" s="37">
        <f t="shared" si="315"/>
        <v>0</v>
      </c>
      <c r="CB62" s="95">
        <f t="shared" si="292"/>
        <v>94250</v>
      </c>
      <c r="CC62" s="95">
        <v>25000.0</v>
      </c>
      <c r="CD62" s="95">
        <v>33176.0</v>
      </c>
      <c r="CE62" s="95">
        <f t="shared" si="293"/>
        <v>8800</v>
      </c>
      <c r="CF62" s="87">
        <f t="shared" si="312"/>
        <v>113100</v>
      </c>
      <c r="CG62" s="95">
        <f t="shared" si="313"/>
        <v>30000</v>
      </c>
      <c r="CH62" s="95">
        <v>10000.0</v>
      </c>
      <c r="CI62" s="95">
        <v>0.0</v>
      </c>
      <c r="CJ62" s="95">
        <v>0.0</v>
      </c>
      <c r="CK62" s="95">
        <v>0.0</v>
      </c>
      <c r="CL62" s="95">
        <v>0.0</v>
      </c>
      <c r="CM62" s="95">
        <v>0.0</v>
      </c>
      <c r="CN62" s="95">
        <v>0.0</v>
      </c>
      <c r="CO62" s="95">
        <v>1400.0</v>
      </c>
      <c r="CP62" s="87">
        <f t="shared" si="294"/>
        <v>192500</v>
      </c>
      <c r="CQ62" s="87">
        <f t="shared" si="295"/>
        <v>51061.00796</v>
      </c>
      <c r="CR62" s="78"/>
      <c r="CS62" s="37">
        <f t="shared" si="296"/>
        <v>250526</v>
      </c>
      <c r="CT62" s="95" t="s">
        <v>225</v>
      </c>
      <c r="CU62" s="95" t="s">
        <v>213</v>
      </c>
      <c r="CV62" s="95">
        <v>15.0</v>
      </c>
      <c r="CW62" s="78"/>
      <c r="CX62" s="78"/>
      <c r="CY62" s="78"/>
      <c r="CZ62" s="78"/>
      <c r="DA62" s="173">
        <v>45855.0</v>
      </c>
      <c r="DB62" s="95" t="s">
        <v>322</v>
      </c>
      <c r="DC62" s="78"/>
      <c r="DD62" s="78"/>
      <c r="DE62" s="78"/>
      <c r="DF62" s="78"/>
      <c r="DG62" s="173">
        <v>45855.0</v>
      </c>
      <c r="DH62" s="78"/>
      <c r="DI62" s="78"/>
      <c r="DJ62" s="95" t="s">
        <v>227</v>
      </c>
      <c r="DK62" s="95">
        <v>154.43</v>
      </c>
      <c r="DL62" s="95">
        <f t="shared" si="297"/>
        <v>40.96286472</v>
      </c>
      <c r="DM62" s="95">
        <v>2266.0</v>
      </c>
      <c r="DN62" s="95" t="s">
        <v>215</v>
      </c>
      <c r="DO62" s="95">
        <f>1.5*2</f>
        <v>3</v>
      </c>
      <c r="DP62" s="95">
        <v>0.0</v>
      </c>
      <c r="DQ62" s="78"/>
      <c r="DR62" s="78"/>
      <c r="DS62" s="78"/>
      <c r="DT62" s="95">
        <f t="shared" si="298"/>
        <v>41.75862069</v>
      </c>
      <c r="DU62" s="95">
        <v>3.0</v>
      </c>
      <c r="DV62" s="95">
        <v>0.0</v>
      </c>
      <c r="DW62" s="78"/>
      <c r="DX62" s="37">
        <f t="shared" si="299"/>
        <v>349938.38</v>
      </c>
      <c r="DY62" s="37">
        <f t="shared" si="300"/>
        <v>92821.85146</v>
      </c>
      <c r="DZ62" s="78"/>
      <c r="EA62" s="78"/>
      <c r="EB62" s="95">
        <f t="shared" si="301"/>
        <v>0</v>
      </c>
      <c r="EC62" s="78"/>
      <c r="ED62" s="78"/>
      <c r="EE62" s="78"/>
      <c r="EF62" s="95">
        <f t="shared" si="302"/>
        <v>0</v>
      </c>
      <c r="EG62" s="78"/>
      <c r="EH62" s="78"/>
      <c r="EI62" s="78"/>
      <c r="EJ62" s="95">
        <f t="shared" si="303"/>
        <v>0</v>
      </c>
      <c r="EK62" s="78"/>
      <c r="EL62" s="78"/>
      <c r="EM62" s="78"/>
      <c r="EN62" s="78"/>
      <c r="EO62" s="78"/>
      <c r="EP62" s="78"/>
      <c r="EQ62" s="78"/>
      <c r="ER62" s="168">
        <f t="shared" si="304"/>
        <v>0</v>
      </c>
      <c r="ES62" s="168">
        <f t="shared" si="305"/>
        <v>0</v>
      </c>
      <c r="ET62" s="95" t="s">
        <v>217</v>
      </c>
      <c r="EU62" s="95">
        <v>2.0</v>
      </c>
      <c r="EV62" s="95">
        <v>0.0</v>
      </c>
      <c r="EW62" s="95">
        <f>3*2</f>
        <v>6</v>
      </c>
      <c r="EX62" s="95">
        <v>2.0</v>
      </c>
      <c r="EY62" s="95">
        <v>0.0</v>
      </c>
      <c r="EZ62" s="174"/>
      <c r="FA62" s="174"/>
      <c r="FB62" s="174"/>
      <c r="FC62" s="174"/>
      <c r="FD62" s="174"/>
      <c r="FE62" s="174"/>
      <c r="FF62" s="78"/>
      <c r="FG62" s="78"/>
      <c r="FH62" s="78"/>
      <c r="FI62" s="78"/>
      <c r="FJ62" s="78"/>
      <c r="FK62" s="78"/>
      <c r="FL62" s="78"/>
      <c r="FM62" s="78"/>
      <c r="FN62" s="78"/>
      <c r="FO62" s="78"/>
      <c r="FP62" s="78"/>
      <c r="FQ62" s="78"/>
      <c r="FR62" s="78"/>
      <c r="FS62" s="78"/>
      <c r="FT62" s="78"/>
      <c r="FU62" s="78"/>
      <c r="FV62" s="78"/>
      <c r="FW62" s="78"/>
      <c r="FX62" s="78"/>
      <c r="FY62" s="37">
        <f t="shared" si="307"/>
        <v>0</v>
      </c>
      <c r="FZ62" s="37">
        <f t="shared" si="308"/>
        <v>0</v>
      </c>
      <c r="GA62" s="174"/>
      <c r="GB62" s="174"/>
      <c r="GC62" s="174"/>
      <c r="GD62" s="174"/>
      <c r="GE62" s="174"/>
      <c r="GF62" s="174"/>
      <c r="GG62" s="78"/>
      <c r="GH62" s="78"/>
      <c r="GI62" s="78"/>
      <c r="GJ62" s="78"/>
      <c r="GK62" s="78"/>
      <c r="GL62" s="78"/>
      <c r="GM62" s="78"/>
      <c r="GN62" s="78"/>
      <c r="GO62" s="78"/>
      <c r="GP62" s="78"/>
      <c r="GQ62" s="78"/>
      <c r="GR62" s="98">
        <f t="shared" si="309"/>
        <v>0</v>
      </c>
      <c r="GS62" s="98">
        <f t="shared" si="310"/>
        <v>0</v>
      </c>
      <c r="GT62" s="78"/>
      <c r="GU62" s="95" t="s">
        <v>208</v>
      </c>
      <c r="GV62" s="95" t="s">
        <v>219</v>
      </c>
      <c r="GW62" s="78"/>
      <c r="GX62" s="95" t="s">
        <v>294</v>
      </c>
      <c r="GY62" s="95" t="s">
        <v>295</v>
      </c>
      <c r="GZ62" s="78"/>
      <c r="HA62" s="78"/>
      <c r="HB62" s="78"/>
      <c r="HC62" s="78"/>
      <c r="HD62" s="78"/>
      <c r="HE62" s="78"/>
      <c r="HF62" s="78"/>
      <c r="HG62" s="169">
        <v>40.0</v>
      </c>
      <c r="HH62" s="169" t="s">
        <v>260</v>
      </c>
      <c r="HI62" s="106"/>
      <c r="HJ62" s="163" t="s">
        <v>296</v>
      </c>
      <c r="HK62" s="154">
        <v>7.0</v>
      </c>
      <c r="HL62" s="170" t="s">
        <v>307</v>
      </c>
    </row>
    <row r="63">
      <c r="A63" s="113" t="s">
        <v>332</v>
      </c>
    </row>
    <row r="64">
      <c r="A64" s="178" t="s">
        <v>333</v>
      </c>
      <c r="B64" s="179"/>
      <c r="C64" s="179"/>
      <c r="D64" s="179"/>
      <c r="E64" s="110">
        <v>55.0</v>
      </c>
      <c r="F64" s="110">
        <v>2.0</v>
      </c>
      <c r="G64" s="109" t="s">
        <v>176</v>
      </c>
      <c r="H64" s="111">
        <v>17.19</v>
      </c>
      <c r="I64" s="179"/>
      <c r="J64" s="180">
        <v>45929.0</v>
      </c>
      <c r="K64" s="87" t="s">
        <v>300</v>
      </c>
      <c r="L64" s="87" t="s">
        <v>300</v>
      </c>
      <c r="M64" s="37">
        <f>BB64+BZ64+DX64+ER64+FY64+GR64+CS64</f>
        <v>1821550</v>
      </c>
      <c r="N64" s="42">
        <f>M64/H64</f>
        <v>105965.6777</v>
      </c>
      <c r="O64" s="42">
        <f>BR64</f>
        <v>0</v>
      </c>
      <c r="P64" s="42">
        <f>O64/H64</f>
        <v>0</v>
      </c>
      <c r="Q64" s="42">
        <f>BD64+AJ64+CA64</f>
        <v>5321000</v>
      </c>
      <c r="R64" s="42">
        <f>Q64/H64</f>
        <v>309540.4305</v>
      </c>
      <c r="S64" s="42">
        <f>Q64-M64</f>
        <v>3499450</v>
      </c>
      <c r="T64" s="42">
        <f>S64/H64</f>
        <v>203574.7528</v>
      </c>
      <c r="U64" s="181">
        <f>Q64-O64-M64</f>
        <v>3499450</v>
      </c>
      <c r="V64" s="181">
        <f>U64/H64</f>
        <v>203574.7528</v>
      </c>
      <c r="W64" s="95">
        <f>35*H64</f>
        <v>601.65</v>
      </c>
      <c r="X64" s="78"/>
      <c r="Y64" s="182"/>
      <c r="Z64" s="183">
        <v>45927.0</v>
      </c>
      <c r="AA64" s="112">
        <f>559.5+286.5</f>
        <v>846</v>
      </c>
      <c r="AB64" s="92">
        <f>AA64-W64</f>
        <v>244.35</v>
      </c>
      <c r="AC64" s="93">
        <f>ifs(AB64&lt;0,AB64*AF64,AB64&gt;0,0,AB64="","")</f>
        <v>0</v>
      </c>
      <c r="AD64" s="94">
        <f>IF(X64&lt;&gt;"", IFS(AB64&lt;0, AB64*AF64, AB64&gt;0, 0, AB64="", ""), 0)</f>
        <v>0</v>
      </c>
      <c r="AE64" s="159">
        <f>AA64/H64</f>
        <v>49.21465969</v>
      </c>
      <c r="AF64" s="95">
        <v>6000.0</v>
      </c>
      <c r="AG64" s="78"/>
      <c r="AH64" s="184">
        <v>45929.0</v>
      </c>
      <c r="AI64" s="90"/>
      <c r="AJ64" s="37">
        <f>AA64*AF64</f>
        <v>5076000</v>
      </c>
      <c r="AK64" s="37">
        <f>AJ64/H64</f>
        <v>295287.9581</v>
      </c>
      <c r="AL64" s="87" t="s">
        <v>254</v>
      </c>
      <c r="AM64" s="87">
        <v>8.0</v>
      </c>
      <c r="AN64" s="112">
        <f>AM64/2</f>
        <v>4</v>
      </c>
      <c r="AO64" s="87">
        <v>25000.0</v>
      </c>
      <c r="AP64" s="87">
        <v>7.0</v>
      </c>
      <c r="AQ64" s="87">
        <v>35000.0</v>
      </c>
      <c r="AR64" s="90"/>
      <c r="AS64" s="90"/>
      <c r="AT64" s="90"/>
      <c r="AU64" s="90"/>
      <c r="AV64" s="90"/>
      <c r="AW64" s="90"/>
      <c r="AX64" s="90"/>
      <c r="AY64" s="90"/>
      <c r="AZ64" s="90"/>
      <c r="BA64" s="87" t="s">
        <v>334</v>
      </c>
      <c r="BB64" s="37">
        <f>AM64*AO64+AR64+(AU64*AV64+AY64)</f>
        <v>200000</v>
      </c>
      <c r="BC64" s="37">
        <f>BB64/H64</f>
        <v>11634.67132</v>
      </c>
      <c r="BD64" s="37">
        <f>(AP64*AQ64)+AS64+(AW64*AX64)+AZ64</f>
        <v>245000</v>
      </c>
      <c r="BE64" s="37">
        <f>BD64/H64</f>
        <v>14252.47237</v>
      </c>
      <c r="BF64" s="90"/>
      <c r="BG64" s="90"/>
      <c r="BH64" s="90"/>
      <c r="BI64" s="90"/>
      <c r="BJ64" s="90"/>
      <c r="BK64" s="90"/>
      <c r="BL64" s="90"/>
      <c r="BM64" s="90"/>
      <c r="BN64" s="90"/>
      <c r="BO64" s="90"/>
      <c r="BP64" s="90"/>
      <c r="BQ64" s="90"/>
      <c r="BR64" s="37">
        <v>0.0</v>
      </c>
      <c r="BS64" s="96"/>
      <c r="BT64" s="96"/>
      <c r="BU64" s="96"/>
      <c r="BV64" s="96"/>
      <c r="BW64" s="96"/>
      <c r="BX64" s="96"/>
      <c r="BY64" s="96"/>
      <c r="BZ64" s="37">
        <f t="shared" ref="BZ64:CA64" si="316">BT64+BW64</f>
        <v>0</v>
      </c>
      <c r="CA64" s="37">
        <f t="shared" si="316"/>
        <v>0</v>
      </c>
      <c r="CB64" s="87">
        <f>CC64*H64</f>
        <v>429750</v>
      </c>
      <c r="CC64" s="95">
        <v>25000.0</v>
      </c>
      <c r="CD64" s="87">
        <f>22000*7</f>
        <v>154000</v>
      </c>
      <c r="CE64" s="87">
        <f>CD64/H64</f>
        <v>8958.696917</v>
      </c>
      <c r="CF64" s="95">
        <f>(CG64*H64)+150000</f>
        <v>493800</v>
      </c>
      <c r="CG64" s="87">
        <v>20000.0</v>
      </c>
      <c r="CH64" s="87">
        <f>12000*2</f>
        <v>24000</v>
      </c>
      <c r="CI64" s="95">
        <f>150000*3</f>
        <v>450000</v>
      </c>
      <c r="CJ64" s="95">
        <v>0.0</v>
      </c>
      <c r="CK64" s="95">
        <v>0.0</v>
      </c>
      <c r="CL64" s="95">
        <v>0.0</v>
      </c>
      <c r="CM64" s="95">
        <v>0.0</v>
      </c>
      <c r="CN64" s="95">
        <v>0.0</v>
      </c>
      <c r="CO64" s="87">
        <v>1100.0</v>
      </c>
      <c r="CP64" s="87">
        <f>CO64*AA64</f>
        <v>930600</v>
      </c>
      <c r="CQ64" s="87">
        <f>CP64/H64</f>
        <v>54136.12565</v>
      </c>
      <c r="CR64" s="90"/>
      <c r="CS64" s="37">
        <f>CB64+CD64+CF64+CH64+CI64+CK64+CL64+CM64+CN64</f>
        <v>1551550</v>
      </c>
      <c r="CT64" s="185" t="s">
        <v>335</v>
      </c>
      <c r="CU64" s="169" t="s">
        <v>213</v>
      </c>
      <c r="CV64" s="90"/>
      <c r="CW64" s="90"/>
      <c r="CX64" s="186"/>
      <c r="CY64" s="90"/>
      <c r="CZ64" s="90"/>
      <c r="DA64" s="136">
        <v>45929.0</v>
      </c>
      <c r="DB64" s="82" t="s">
        <v>336</v>
      </c>
      <c r="DC64" s="90"/>
      <c r="DD64" s="90"/>
      <c r="DE64" s="90"/>
      <c r="DF64" s="90"/>
      <c r="DG64" s="136">
        <v>45929.0</v>
      </c>
      <c r="DH64" s="90"/>
      <c r="DI64" s="90"/>
      <c r="DJ64" s="169" t="s">
        <v>337</v>
      </c>
      <c r="DK64" s="169">
        <f>80</f>
        <v>80</v>
      </c>
      <c r="DL64" s="91">
        <f>DK64/H64</f>
        <v>4.653868528</v>
      </c>
      <c r="DM64" s="169">
        <v>0.0</v>
      </c>
      <c r="DN64" s="95" t="s">
        <v>227</v>
      </c>
      <c r="DO64" s="169">
        <f>40*7</f>
        <v>280</v>
      </c>
      <c r="DP64" s="169">
        <v>250.0</v>
      </c>
      <c r="DQ64" s="95" t="s">
        <v>338</v>
      </c>
      <c r="DR64" s="169">
        <f>5*(5*1.5)</f>
        <v>37.5</v>
      </c>
      <c r="DS64" s="169">
        <v>0.0</v>
      </c>
      <c r="DT64" s="91">
        <f>(DK64+DO64+DR64)/H64</f>
        <v>23.12390925</v>
      </c>
      <c r="DU64" s="169">
        <v>6.0</v>
      </c>
      <c r="DV64" s="169">
        <v>0.0</v>
      </c>
      <c r="DW64" s="90"/>
      <c r="DX64" s="37">
        <f>DK64*DM64+DP64*DO64+DS64*DR64</f>
        <v>70000</v>
      </c>
      <c r="DY64" s="37">
        <f>DX64/H64</f>
        <v>4072.134962</v>
      </c>
      <c r="DZ64" s="90"/>
      <c r="EA64" s="90"/>
      <c r="EB64" s="95">
        <f>EA64/H64</f>
        <v>0</v>
      </c>
      <c r="EC64" s="90"/>
      <c r="ED64" s="90"/>
      <c r="EE64" s="90"/>
      <c r="EF64" s="95">
        <f>EE64/H64</f>
        <v>0</v>
      </c>
      <c r="EG64" s="90"/>
      <c r="EH64" s="90"/>
      <c r="EI64" s="90"/>
      <c r="EJ64" s="95">
        <f>EI64/H64</f>
        <v>0</v>
      </c>
      <c r="EK64" s="90"/>
      <c r="EL64" s="90"/>
      <c r="EM64" s="90"/>
      <c r="EN64" s="90"/>
      <c r="EO64" s="90"/>
      <c r="EP64" s="90"/>
      <c r="EQ64" s="90"/>
      <c r="ER64" s="168">
        <f>EC64+EG64+EK64+EN64</f>
        <v>0</v>
      </c>
      <c r="ES64" s="168">
        <f>ER64/H64</f>
        <v>0</v>
      </c>
      <c r="ET64" s="78"/>
      <c r="EU64" s="90"/>
      <c r="EV64" s="90"/>
      <c r="EW64" s="90"/>
      <c r="EX64" s="90"/>
      <c r="EY64" s="90"/>
      <c r="EZ64" s="90"/>
      <c r="FA64" s="90"/>
      <c r="FB64" s="90"/>
      <c r="FC64" s="90"/>
      <c r="FD64" s="90"/>
      <c r="FE64" s="90"/>
      <c r="FF64" s="90"/>
      <c r="FG64" s="90"/>
      <c r="FH64" s="90"/>
      <c r="FI64" s="90"/>
      <c r="FJ64" s="90"/>
      <c r="FK64" s="90"/>
      <c r="FL64" s="90"/>
      <c r="FM64" s="90"/>
      <c r="FN64" s="90"/>
      <c r="FO64" s="90"/>
      <c r="FP64" s="90"/>
      <c r="FQ64" s="90"/>
      <c r="FR64" s="90"/>
      <c r="FS64" s="90"/>
      <c r="FT64" s="90"/>
      <c r="FU64" s="90"/>
      <c r="FV64" s="90"/>
      <c r="FW64" s="90"/>
      <c r="FX64" s="90"/>
      <c r="FY64" s="37">
        <f>EV64+FB64+FH64+FN64+FT64</f>
        <v>0</v>
      </c>
      <c r="FZ64" s="37">
        <f>FY64/H64</f>
        <v>0</v>
      </c>
      <c r="GA64" s="90"/>
      <c r="GB64" s="90"/>
      <c r="GC64" s="90"/>
      <c r="GD64" s="90"/>
      <c r="GE64" s="90"/>
      <c r="GF64" s="90"/>
      <c r="GG64" s="90"/>
      <c r="GH64" s="90"/>
      <c r="GI64" s="90"/>
      <c r="GJ64" s="90"/>
      <c r="GK64" s="90"/>
      <c r="GL64" s="90"/>
      <c r="GM64" s="90"/>
      <c r="GN64" s="90"/>
      <c r="GO64" s="90"/>
      <c r="GP64" s="90"/>
      <c r="GQ64" s="90"/>
      <c r="GR64" s="98">
        <f>GB64*GC64+GH64*GI64+GN64*GO64</f>
        <v>0</v>
      </c>
      <c r="GS64" s="98">
        <f>GR64/H64</f>
        <v>0</v>
      </c>
      <c r="GT64" s="78"/>
      <c r="GU64" s="95" t="s">
        <v>208</v>
      </c>
      <c r="GV64" s="78"/>
      <c r="GW64" s="78"/>
      <c r="GX64" s="95" t="s">
        <v>294</v>
      </c>
      <c r="GY64" s="95" t="s">
        <v>295</v>
      </c>
      <c r="GZ64" s="78"/>
      <c r="HA64" s="90"/>
      <c r="HB64" s="90"/>
      <c r="HC64" s="90"/>
      <c r="HD64" s="90"/>
      <c r="HE64" s="90"/>
      <c r="HF64" s="90"/>
      <c r="HG64" s="169">
        <v>40.0</v>
      </c>
      <c r="HH64" s="169" t="s">
        <v>260</v>
      </c>
      <c r="HI64" s="99"/>
      <c r="HJ64" s="187" t="s">
        <v>296</v>
      </c>
      <c r="HK64" s="101"/>
      <c r="HL64" s="170" t="s">
        <v>307</v>
      </c>
    </row>
  </sheetData>
  <mergeCells count="15">
    <mergeCell ref="DZ1:EQ1"/>
    <mergeCell ref="ET1:FY1"/>
    <mergeCell ref="GA1:GR1"/>
    <mergeCell ref="GT1:GZ1"/>
    <mergeCell ref="HA1:HF1"/>
    <mergeCell ref="HG1:HI1"/>
    <mergeCell ref="HA2:HB2"/>
    <mergeCell ref="HC2:HD2"/>
    <mergeCell ref="K1:L1"/>
    <mergeCell ref="M1:U1"/>
    <mergeCell ref="W1:AJ1"/>
    <mergeCell ref="AL1:BR1"/>
    <mergeCell ref="BS1:CA1"/>
    <mergeCell ref="CB1:CS1"/>
    <mergeCell ref="DJ1:DY1"/>
  </mergeCells>
  <dataValidations>
    <dataValidation type="list" allowBlank="1" showErrorMessage="1" sqref="HK4:HK12 HK14 HK16 HK18:HK26 HK28:HK29 HK32 HK34 HK36:HK39 HK41 HK43:HK44 HK46:HK49 HK51 HK53 HK55 HK57 HK59:HK62 HK64">
      <formula1>#REF!</formula1>
    </dataValidation>
    <dataValidation type="list" allowBlank="1" showErrorMessage="1" sqref="HJ43:HJ44 HJ46:HJ49 HJ51 HJ53 HJ55 HJ57 HJ59:HJ62 HJ64">
      <formula1>"water needs are met,not enough,water needs are met, but struggle to find it"</formula1>
    </dataValidation>
    <dataValidation type="list" allowBlank="1" showErrorMessage="1" sqref="K3:K12 K14 K16 K18:K26 K28:K29 K32 K34 K36:K39 K41 K43:K44 K46:K49 K51 K53 K55 K57 K59:K62 K64">
      <formula1>#REF!</formula1>
    </dataValidation>
    <dataValidation type="list" allowBlank="1" showErrorMessage="1" sqref="CT3:CT12 CT14 CT16 CT18:CT26 CT28:CT29 CT32 CT34 CT36:CT39 CT41 CT43:CT44 CT46:CT49 CT51 CT53 CT55 CT57 CT59:CT62 CT64">
      <formula1>"Jarwo 2:1,Tegel,Half (Jarwo 2:1 x Tegel),Tabela (Jarwo 2:1),Tabela (Tegel),Tabela Jarwo (4:1)"</formula1>
    </dataValidation>
    <dataValidation type="list" allowBlank="1" showErrorMessage="1" sqref="GY4:GY12 GY14 GY16 GY18:GY26 GY28:GY29 GY32 GY34 GY36:GY39 GY41 GY43:GY44 GY46:GY49 GY51 GY53 GY55 GY57 GY59:GY62 GY64">
      <formula1>"Hyacin/Eceng Gondok,Option 2"</formula1>
    </dataValidation>
    <dataValidation type="list" allowBlank="1" showErrorMessage="1" sqref="HJ4:HJ12 HJ14 HJ16 HJ18:HJ26 HJ28:HJ29 HJ32 HJ34 HJ36:HJ39 HJ41">
      <formula1>#REF!</formula1>
    </dataValidation>
    <dataValidation type="list" allowBlank="1" showErrorMessage="1" sqref="GU4:GW12 GU14:GW14 GU16:GW16 GU18:GW26 GU28:GW29 GU32:GW32 GU34:GW34 GU36:GW39 GU41:GW41 GU43:GW44 GU46:GW49 GU51:GW51 GU53:GW53 GU55:GW55 GU57:GW57 GU59:GW62 GU64:GW64">
      <formula1>"Azola,Sunhemp,Kacang Tunggak,Added plant 1 (eg. Azola),Kacang Panjang,Added plant 2 (eg. Sunhemp)"</formula1>
    </dataValidation>
    <dataValidation type="custom" allowBlank="1" showDropDown="1" sqref="J3:J12 J14 J16 J18:J26 J28:J29 J32 J34 J36:J39 J41 J43:J44 J46:J49 J51 J53 J55 J57 J59:J62 J64">
      <formula1>OR(NOT(ISERROR(DATEVALUE(J3))), AND(ISNUMBER(J3), LEFT(CELL("format", J3))="D"))</formula1>
    </dataValidation>
    <dataValidation type="list" allowBlank="1" showErrorMessage="1" sqref="L3:L12 L14 L16 L18:L26 L28:L29 L32 L34 L36:L39 L41 L43:L44 L46:L49 L51 L53 L55 L57 L59:L62 L64">
      <formula1>#REF!</formula1>
    </dataValidation>
    <dataValidation type="list" allowBlank="1" showErrorMessage="1" sqref="G4:G12 G14 G16 G18:G26 G28:G29 G32 G34 G36:G39 G41 G43:G44 G46:G49 G51 G53 G55 G57 G59:G62 G64">
      <formula1>"AW program,Healthy Rice,Regen. Rice,Conventional"</formula1>
    </dataValidation>
    <dataValidation type="list" allowBlank="1" showErrorMessage="1" sqref="GX4:GX12 GX14 GX16 GX18:GX26 GX28:GX29 GX32 GX34 GX36:GX39 GX41 GX43:GX44 GX46:GX49 GX51 GX53 GX55 GX57 GX59:GX62 GX64">
      <formula1>"Andungan"</formula1>
    </dataValidation>
    <dataValidation type="list" allowBlank="1" showErrorMessage="1" sqref="HL4:HL12 HL14 HL16 HL18:HL26 HL28:HL29 HL32 HL34 HL36:HL39 HL41 HL43:HL44 HL46:HL49 HL51 HL53 HL55 HL57 HL59:HL62 HL64">
      <formula1>#REF!</formula1>
    </dataValidation>
    <dataValidation type="list" allowBlank="1" showErrorMessage="1" sqref="GT4:GT12 GT14 GT16 GT18:GT26 GT28:GT29 GT32 GT34 GT36:GT39 GT41 GT43:GT44 GT46:GT49 GT51 GT53 GT55 GT57 GT59:GT62 GT64">
      <formula1>"Azola,Sunhemp,Kacang Tunggak,Added plant 1 (eg. Azola),Kacang Panjang,Singkong"</formula1>
    </dataValidation>
    <dataValidation type="custom" allowBlank="1" showDropDown="1" sqref="W1 Y3:Y12 Y14 Y16 Y18:Y26 Y28:Y29 Y32 Y34 Y36:Y39 Y41 Y43:Y44 Y46:Y49 Y51 Y53 Y55 Y57 Y59:Y62 Y64">
      <formula1>OR(NOT(ISERROR(DATEVALUE(W1))), AND(ISNUMBER(W1), LEFT(CELL("format", W1))="D"))</formula1>
    </dataValidation>
  </dataValidations>
  <drawing r:id="rId2"/>
  <legacyDrawing r:id="rId3"/>
  <tableParts count="9">
    <tablePart r:id="rId13"/>
    <tablePart r:id="rId14"/>
    <tablePart r:id="rId15"/>
    <tablePart r:id="rId16"/>
    <tablePart r:id="rId17"/>
    <tablePart r:id="rId18"/>
    <tablePart r:id="rId19"/>
    <tablePart r:id="rId20"/>
    <tablePart r:id="rId21"/>
  </tableParts>
</worksheet>
</file>